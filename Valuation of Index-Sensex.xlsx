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ay\Downloads\"/>
    </mc:Choice>
  </mc:AlternateContent>
  <xr:revisionPtr revIDLastSave="0" documentId="13_ncr:1_{89EED80F-5249-46E3-8C0D-C9F36C93EDA6}" xr6:coauthVersionLast="47" xr6:coauthVersionMax="47" xr10:uidLastSave="{00000000-0000-0000-0000-000000000000}"/>
  <bookViews>
    <workbookView xWindow="-108" yWindow="-108" windowWidth="23256" windowHeight="12456" tabRatio="930" activeTab="8" xr2:uid="{2F20436F-52AA-463C-888E-67D5DA22C489}"/>
  </bookViews>
  <sheets>
    <sheet name="Valuation&gt;" sheetId="1" r:id="rId1"/>
    <sheet name="Sensex Val" sheetId="2" r:id="rId2"/>
    <sheet name="Data&gt;" sheetId="3" r:id="rId3"/>
    <sheet name="ExpDiv&amp;BB" sheetId="11" r:id="rId4"/>
    <sheet name="SensexEPSGrowth" sheetId="5" r:id="rId5"/>
    <sheet name="SensexHistorical" sheetId="6" r:id="rId6"/>
    <sheet name="RfrHistorical" sheetId="7" r:id="rId7"/>
    <sheet name="ErpHistorical" sheetId="8" r:id="rId8"/>
    <sheet name="2025-BBData" sheetId="10" r:id="rId9"/>
  </sheets>
  <definedNames>
    <definedName name="_xlnm._FilterDatabase" localSheetId="4" hidden="1">SensexEPSGrowth!$P$2:$T$2</definedName>
    <definedName name="_xlnm._FilterDatabase" localSheetId="5" hidden="1">SensexHistorical!$B$2:$C$334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D8" i="2"/>
  <c r="D12" i="2"/>
  <c r="D11" i="2"/>
  <c r="D10" i="2"/>
  <c r="D9" i="2"/>
  <c r="C7" i="2"/>
  <c r="D7" i="2" s="1"/>
  <c r="B16" i="2"/>
  <c r="B17" i="2" s="1"/>
  <c r="B18" i="2" s="1"/>
  <c r="B19" i="2" s="1"/>
  <c r="B20" i="2" s="1"/>
  <c r="G8" i="8"/>
  <c r="G10" i="8"/>
  <c r="G3" i="10"/>
  <c r="G4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M4" i="5"/>
  <c r="M6" i="5"/>
  <c r="M8" i="5"/>
  <c r="M10" i="5"/>
  <c r="D27" i="5"/>
  <c r="D28" i="5"/>
  <c r="D29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3" i="5"/>
  <c r="C21" i="5"/>
  <c r="C4" i="5"/>
  <c r="C5" i="5"/>
  <c r="C6" i="5"/>
  <c r="C7" i="5"/>
  <c r="C8" i="5"/>
  <c r="C9" i="5"/>
  <c r="C10" i="5"/>
  <c r="C11" i="5"/>
  <c r="E11" i="5" s="1"/>
  <c r="C12" i="5"/>
  <c r="C13" i="5"/>
  <c r="C14" i="5"/>
  <c r="C15" i="5"/>
  <c r="C16" i="5"/>
  <c r="C17" i="5"/>
  <c r="C18" i="5"/>
  <c r="C19" i="5"/>
  <c r="E19" i="5" s="1"/>
  <c r="C20" i="5"/>
  <c r="C22" i="5"/>
  <c r="C23" i="5"/>
  <c r="E23" i="5" s="1"/>
  <c r="C24" i="5"/>
  <c r="C25" i="5"/>
  <c r="E25" i="5" s="1"/>
  <c r="C26" i="5"/>
  <c r="C27" i="5"/>
  <c r="C28" i="5"/>
  <c r="E28" i="5" s="1"/>
  <c r="C29" i="5"/>
  <c r="C3" i="5"/>
  <c r="B4" i="5"/>
  <c r="B5" i="5" s="1"/>
  <c r="G4" i="8"/>
  <c r="G6" i="8"/>
  <c r="L12" i="6"/>
  <c r="L10" i="6"/>
  <c r="L8" i="6"/>
  <c r="L6" i="6"/>
  <c r="L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4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" i="6"/>
  <c r="F4" i="6"/>
  <c r="F5" i="6" s="1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4" i="6"/>
  <c r="N10" i="7"/>
  <c r="N8" i="7"/>
  <c r="N6" i="7"/>
  <c r="N4" i="7"/>
  <c r="N12" i="7"/>
  <c r="J3" i="7"/>
  <c r="J20" i="7"/>
  <c r="J21" i="7"/>
  <c r="J22" i="7"/>
  <c r="J23" i="7"/>
  <c r="J24" i="7"/>
  <c r="J25" i="7"/>
  <c r="J26" i="7"/>
  <c r="J27" i="7"/>
  <c r="J28" i="7"/>
  <c r="J29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I4" i="7"/>
  <c r="I5" i="7" s="1"/>
  <c r="I6" i="7" s="1"/>
  <c r="I7" i="7" s="1"/>
  <c r="I8" i="7" s="1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J8" i="10"/>
  <c r="F7" i="11" s="1"/>
  <c r="G7" i="11" s="1"/>
  <c r="H7" i="11" s="1"/>
  <c r="J7" i="10"/>
  <c r="G98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F12" i="10"/>
  <c r="F4" i="10"/>
  <c r="F5" i="10"/>
  <c r="F6" i="10"/>
  <c r="F7" i="10"/>
  <c r="F8" i="10"/>
  <c r="F9" i="10"/>
  <c r="F10" i="10"/>
  <c r="F11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3" i="10"/>
  <c r="C16" i="2" l="1"/>
  <c r="C21" i="2"/>
  <c r="C19" i="2"/>
  <c r="C18" i="2"/>
  <c r="C25" i="2"/>
  <c r="C15" i="2"/>
  <c r="C17" i="2"/>
  <c r="C23" i="2"/>
  <c r="C22" i="2"/>
  <c r="C20" i="2"/>
  <c r="C24" i="2"/>
  <c r="D13" i="2"/>
  <c r="B21" i="2"/>
  <c r="F3" i="11"/>
  <c r="G3" i="11" s="1"/>
  <c r="H3" i="11" s="1"/>
  <c r="F6" i="11"/>
  <c r="G6" i="11" s="1"/>
  <c r="H6" i="11" s="1"/>
  <c r="F20" i="11"/>
  <c r="G20" i="11" s="1"/>
  <c r="H20" i="11" s="1"/>
  <c r="F5" i="11"/>
  <c r="G5" i="11" s="1"/>
  <c r="H5" i="11" s="1"/>
  <c r="F29" i="11"/>
  <c r="G29" i="11" s="1"/>
  <c r="H29" i="11" s="1"/>
  <c r="L14" i="11" s="1"/>
  <c r="F17" i="11"/>
  <c r="G17" i="11" s="1"/>
  <c r="H17" i="11" s="1"/>
  <c r="F4" i="11"/>
  <c r="G4" i="11" s="1"/>
  <c r="H4" i="11" s="1"/>
  <c r="F14" i="11"/>
  <c r="G14" i="11" s="1"/>
  <c r="H14" i="11" s="1"/>
  <c r="F19" i="11"/>
  <c r="G19" i="11" s="1"/>
  <c r="H19" i="11" s="1"/>
  <c r="F28" i="11"/>
  <c r="G28" i="11" s="1"/>
  <c r="H28" i="11" s="1"/>
  <c r="F27" i="11"/>
  <c r="G27" i="11" s="1"/>
  <c r="H27" i="11" s="1"/>
  <c r="F13" i="11"/>
  <c r="G13" i="11" s="1"/>
  <c r="H13" i="11" s="1"/>
  <c r="F25" i="11"/>
  <c r="G25" i="11" s="1"/>
  <c r="H25" i="11" s="1"/>
  <c r="F12" i="11"/>
  <c r="G12" i="11" s="1"/>
  <c r="H12" i="11" s="1"/>
  <c r="F22" i="11"/>
  <c r="G22" i="11" s="1"/>
  <c r="H22" i="11" s="1"/>
  <c r="F11" i="11"/>
  <c r="G11" i="11" s="1"/>
  <c r="H11" i="11" s="1"/>
  <c r="F21" i="11"/>
  <c r="G21" i="11" s="1"/>
  <c r="H21" i="11" s="1"/>
  <c r="F9" i="11"/>
  <c r="G9" i="11" s="1"/>
  <c r="H9" i="11" s="1"/>
  <c r="F26" i="11"/>
  <c r="G26" i="11" s="1"/>
  <c r="H26" i="11" s="1"/>
  <c r="F18" i="11"/>
  <c r="G18" i="11" s="1"/>
  <c r="H18" i="11" s="1"/>
  <c r="F10" i="11"/>
  <c r="G10" i="11" s="1"/>
  <c r="H10" i="11" s="1"/>
  <c r="F24" i="11"/>
  <c r="G24" i="11" s="1"/>
  <c r="H24" i="11" s="1"/>
  <c r="F16" i="11"/>
  <c r="G16" i="11" s="1"/>
  <c r="H16" i="11" s="1"/>
  <c r="F8" i="11"/>
  <c r="G8" i="11" s="1"/>
  <c r="H8" i="11" s="1"/>
  <c r="F23" i="11"/>
  <c r="G23" i="11" s="1"/>
  <c r="H23" i="11" s="1"/>
  <c r="F15" i="11"/>
  <c r="G15" i="11" s="1"/>
  <c r="H15" i="11" s="1"/>
  <c r="E7" i="5"/>
  <c r="E14" i="5"/>
  <c r="E6" i="5"/>
  <c r="E22" i="5"/>
  <c r="F25" i="5" s="1"/>
  <c r="E24" i="5"/>
  <c r="I24" i="5" s="1"/>
  <c r="E16" i="5"/>
  <c r="G16" i="5" s="1"/>
  <c r="E8" i="5"/>
  <c r="F11" i="5" s="1"/>
  <c r="E18" i="5"/>
  <c r="I28" i="5" s="1"/>
  <c r="E10" i="5"/>
  <c r="F10" i="5" s="1"/>
  <c r="E26" i="5"/>
  <c r="F28" i="5"/>
  <c r="G28" i="5"/>
  <c r="G19" i="5"/>
  <c r="G11" i="5"/>
  <c r="E27" i="5"/>
  <c r="G27" i="5" s="1"/>
  <c r="E17" i="5"/>
  <c r="E9" i="5"/>
  <c r="H14" i="5"/>
  <c r="E15" i="5"/>
  <c r="F22" i="5"/>
  <c r="F14" i="5"/>
  <c r="E29" i="5"/>
  <c r="H29" i="5" s="1"/>
  <c r="E20" i="5"/>
  <c r="E12" i="5"/>
  <c r="G12" i="5" s="1"/>
  <c r="E4" i="5"/>
  <c r="E21" i="5"/>
  <c r="E3" i="5"/>
  <c r="E5" i="5"/>
  <c r="E13" i="5"/>
  <c r="B6" i="5"/>
  <c r="D23" i="2" l="1"/>
  <c r="E23" i="2" s="1"/>
  <c r="D16" i="2"/>
  <c r="E16" i="2" s="1"/>
  <c r="D24" i="2"/>
  <c r="D18" i="2"/>
  <c r="E18" i="2" s="1"/>
  <c r="D17" i="2"/>
  <c r="E17" i="2" s="1"/>
  <c r="D15" i="2"/>
  <c r="E15" i="2" s="1"/>
  <c r="D20" i="2"/>
  <c r="E20" i="2" s="1"/>
  <c r="D21" i="2"/>
  <c r="E21" i="2" s="1"/>
  <c r="D19" i="2"/>
  <c r="E19" i="2" s="1"/>
  <c r="D22" i="2"/>
  <c r="E22" i="2" s="1"/>
  <c r="B22" i="2"/>
  <c r="L12" i="11"/>
  <c r="L4" i="11"/>
  <c r="L6" i="11"/>
  <c r="L10" i="11"/>
  <c r="L8" i="11"/>
  <c r="G23" i="5"/>
  <c r="G24" i="5"/>
  <c r="I26" i="5"/>
  <c r="F26" i="5"/>
  <c r="F19" i="5"/>
  <c r="I18" i="5"/>
  <c r="I16" i="5"/>
  <c r="G21" i="5"/>
  <c r="H15" i="5"/>
  <c r="H25" i="5"/>
  <c r="H23" i="5"/>
  <c r="H18" i="5"/>
  <c r="I20" i="5"/>
  <c r="H26" i="5"/>
  <c r="F27" i="5"/>
  <c r="I23" i="5"/>
  <c r="H20" i="5"/>
  <c r="F16" i="5"/>
  <c r="G18" i="5"/>
  <c r="H28" i="5"/>
  <c r="F24" i="5"/>
  <c r="G26" i="5"/>
  <c r="F12" i="5"/>
  <c r="G14" i="5"/>
  <c r="I19" i="5"/>
  <c r="F9" i="5"/>
  <c r="H16" i="5"/>
  <c r="I22" i="5"/>
  <c r="H19" i="5"/>
  <c r="F15" i="5"/>
  <c r="G17" i="5"/>
  <c r="F13" i="5"/>
  <c r="G20" i="5"/>
  <c r="I25" i="5"/>
  <c r="H22" i="5"/>
  <c r="F18" i="5"/>
  <c r="F20" i="5"/>
  <c r="G22" i="5"/>
  <c r="I27" i="5"/>
  <c r="F17" i="5"/>
  <c r="H24" i="5"/>
  <c r="I15" i="5"/>
  <c r="H12" i="5"/>
  <c r="F8" i="5"/>
  <c r="G10" i="5"/>
  <c r="I13" i="5"/>
  <c r="G8" i="5"/>
  <c r="F6" i="5"/>
  <c r="H10" i="5"/>
  <c r="I17" i="5"/>
  <c r="I21" i="5"/>
  <c r="F21" i="5"/>
  <c r="H13" i="5"/>
  <c r="I29" i="5"/>
  <c r="I14" i="5"/>
  <c r="H11" i="5"/>
  <c r="F7" i="5"/>
  <c r="G9" i="5"/>
  <c r="H21" i="5"/>
  <c r="H17" i="5"/>
  <c r="G13" i="5"/>
  <c r="F29" i="5"/>
  <c r="G15" i="5"/>
  <c r="H27" i="5"/>
  <c r="F23" i="5"/>
  <c r="G25" i="5"/>
  <c r="G29" i="5"/>
  <c r="B7" i="5"/>
  <c r="D25" i="2" l="1"/>
  <c r="E25" i="2" s="1"/>
  <c r="E24" i="2"/>
  <c r="B23" i="2"/>
  <c r="B8" i="5"/>
  <c r="E6" i="2" l="1"/>
  <c r="E8" i="2" s="1"/>
  <c r="B24" i="2"/>
  <c r="B9" i="5"/>
  <c r="B25" i="2" l="1"/>
  <c r="B10" i="5"/>
  <c r="B11" i="5" l="1"/>
  <c r="B12" i="5" l="1"/>
  <c r="B13" i="5" l="1"/>
  <c r="B14" i="5" l="1"/>
  <c r="B15" i="5" l="1"/>
  <c r="B16" i="5" l="1"/>
  <c r="B17" i="5" l="1"/>
  <c r="B18" i="5" l="1"/>
  <c r="B19" i="5" l="1"/>
  <c r="B20" i="5" l="1"/>
  <c r="B21" i="5" l="1"/>
  <c r="B22" i="5" l="1"/>
  <c r="B23" i="5" l="1"/>
  <c r="B24" i="5" l="1"/>
  <c r="B25" i="5" l="1"/>
  <c r="B26" i="5" l="1"/>
  <c r="B27" i="5" l="1"/>
  <c r="B28" i="5" l="1"/>
  <c r="B29" i="5" l="1"/>
</calcChain>
</file>

<file path=xl/sharedStrings.xml><?xml version="1.0" encoding="utf-8"?>
<sst xmlns="http://schemas.openxmlformats.org/spreadsheetml/2006/main" count="290" uniqueCount="192">
  <si>
    <t xml:space="preserve"> </t>
  </si>
  <si>
    <t>Year</t>
  </si>
  <si>
    <t>High</t>
  </si>
  <si>
    <t>Low</t>
  </si>
  <si>
    <t>Close</t>
  </si>
  <si>
    <t>PE Ratios</t>
  </si>
  <si>
    <t>PB Ratios</t>
  </si>
  <si>
    <t>Dividend Yield</t>
  </si>
  <si>
    <t>Month</t>
  </si>
  <si>
    <t>Open</t>
  </si>
  <si>
    <t>Date</t>
  </si>
  <si>
    <t>Change %</t>
  </si>
  <si>
    <t>Industry name</t>
  </si>
  <si>
    <t>Number of firms</t>
  </si>
  <si>
    <t>Dividends + Buybacks</t>
  </si>
  <si>
    <t>Advertising</t>
  </si>
  <si>
    <t>Aerospace/Defense</t>
  </si>
  <si>
    <t>Air Transport</t>
  </si>
  <si>
    <t>Apparel</t>
  </si>
  <si>
    <t>Auto &amp; Truck</t>
  </si>
  <si>
    <t>Auto Parts</t>
  </si>
  <si>
    <t>Bank (Money Center)</t>
  </si>
  <si>
    <t>Banks (Regional)</t>
  </si>
  <si>
    <t>Beverage (Alcoholic)</t>
  </si>
  <si>
    <t>Beverage (Soft)</t>
  </si>
  <si>
    <t>Broadcasting</t>
  </si>
  <si>
    <t>Brokerage &amp; Investment Banking</t>
  </si>
  <si>
    <t>Building Materials</t>
  </si>
  <si>
    <t>Business &amp; Consumer Services</t>
  </si>
  <si>
    <t>Cable TV</t>
  </si>
  <si>
    <t>Chemical (Basic)</t>
  </si>
  <si>
    <t>Chemical (Diversified)</t>
  </si>
  <si>
    <t>Chemical (Specialty)</t>
  </si>
  <si>
    <t>Coal &amp; Related Energy</t>
  </si>
  <si>
    <t>Computer Services</t>
  </si>
  <si>
    <t>Computers/Peripherals</t>
  </si>
  <si>
    <t>Construction Supplies</t>
  </si>
  <si>
    <t>Diversified</t>
  </si>
  <si>
    <t>Drugs (Biotechnology)</t>
  </si>
  <si>
    <t>Drugs (Pharmaceutical)</t>
  </si>
  <si>
    <t>Education</t>
  </si>
  <si>
    <t>Electrical Equipment</t>
  </si>
  <si>
    <t>Electronics (Consumer &amp; Office)</t>
  </si>
  <si>
    <t>Electronics (General)</t>
  </si>
  <si>
    <t>Engineering/Construction</t>
  </si>
  <si>
    <t>Entertainment</t>
  </si>
  <si>
    <t>Environmental &amp; Waste Services</t>
  </si>
  <si>
    <t>Farming/Agriculture</t>
  </si>
  <si>
    <t>Financial Svcs. (Non-bank &amp; Insurance)</t>
  </si>
  <si>
    <t>Food Processing</t>
  </si>
  <si>
    <t>Food Wholesalers</t>
  </si>
  <si>
    <t>Furn/Home Furnishings</t>
  </si>
  <si>
    <t>Green &amp; Renewable Energy</t>
  </si>
  <si>
    <t>Healthcare Products</t>
  </si>
  <si>
    <t>Healthcare Support Services</t>
  </si>
  <si>
    <t>Heathcare Information and Technology</t>
  </si>
  <si>
    <t>Homebuilding</t>
  </si>
  <si>
    <t>Hospitals/Healthcare Facilities</t>
  </si>
  <si>
    <t>Hotel/Gaming</t>
  </si>
  <si>
    <t>Household Products</t>
  </si>
  <si>
    <t>Information Services</t>
  </si>
  <si>
    <t>Insurance (General)</t>
  </si>
  <si>
    <t>Insurance (Life)</t>
  </si>
  <si>
    <t>Insurance (Prop/Cas.)</t>
  </si>
  <si>
    <t>Investments &amp; Asset Management</t>
  </si>
  <si>
    <t>Machinery</t>
  </si>
  <si>
    <t>Metals &amp; Mining</t>
  </si>
  <si>
    <t>Office Equipment &amp; Services</t>
  </si>
  <si>
    <t>Oil/Gas (Integrated)</t>
  </si>
  <si>
    <t>Oil/Gas (Production and Exploration)</t>
  </si>
  <si>
    <t>Oil/Gas Distribution</t>
  </si>
  <si>
    <t>Oilfield Svcs/Equip.</t>
  </si>
  <si>
    <t>Packaging &amp; Container</t>
  </si>
  <si>
    <t>Paper/Forest Products</t>
  </si>
  <si>
    <t>Power</t>
  </si>
  <si>
    <t>Precious Metals</t>
  </si>
  <si>
    <t>Publishing &amp; Newspapers</t>
  </si>
  <si>
    <t>R.E.I.T.</t>
  </si>
  <si>
    <t>Real Estate (Development)</t>
  </si>
  <si>
    <t>Real Estate (General/Diversified)</t>
  </si>
  <si>
    <t>Real Estate (Operations &amp; Services)</t>
  </si>
  <si>
    <t>Recreation</t>
  </si>
  <si>
    <t>Reinsurance</t>
  </si>
  <si>
    <t>Restaurant/Dining</t>
  </si>
  <si>
    <t>Retail (Automotive)</t>
  </si>
  <si>
    <t>Retail (Building Supply)</t>
  </si>
  <si>
    <t>Retail (Distributors)</t>
  </si>
  <si>
    <t>Retail (General)</t>
  </si>
  <si>
    <t>Retail (Grocery and Food)</t>
  </si>
  <si>
    <t>Retail (REITs)</t>
  </si>
  <si>
    <t>Retail (Special Lines)</t>
  </si>
  <si>
    <t>Rubber&amp; Tires</t>
  </si>
  <si>
    <t>Semiconductor</t>
  </si>
  <si>
    <t>Semiconductor Equip</t>
  </si>
  <si>
    <t>Shipbuilding &amp; Marine</t>
  </si>
  <si>
    <t>Shoe</t>
  </si>
  <si>
    <t>Software (Entertainment)</t>
  </si>
  <si>
    <t>Software (Internet)</t>
  </si>
  <si>
    <t>Software (System &amp; Application)</t>
  </si>
  <si>
    <t>Steel</t>
  </si>
  <si>
    <t>Telecom (Wireless)</t>
  </si>
  <si>
    <t>Telecom. Equipment</t>
  </si>
  <si>
    <t>Telecom. Services</t>
  </si>
  <si>
    <t>Tobacco</t>
  </si>
  <si>
    <t>Transportation</t>
  </si>
  <si>
    <t>Transportation (Railroads)</t>
  </si>
  <si>
    <t>Trucking</t>
  </si>
  <si>
    <t>Utility (General)</t>
  </si>
  <si>
    <t>Utility (Water)</t>
  </si>
  <si>
    <t>Total Market</t>
  </si>
  <si>
    <t>Total Market (without financials)</t>
  </si>
  <si>
    <t xml:space="preserve">   Dividends  </t>
  </si>
  <si>
    <t xml:space="preserve"> Buybacks</t>
  </si>
  <si>
    <t>Years</t>
  </si>
  <si>
    <t>Implied ERP of India</t>
  </si>
  <si>
    <t xml:space="preserve"> Buybacks%Dividend</t>
  </si>
  <si>
    <t>Mean</t>
  </si>
  <si>
    <t>Trimmed Mean 10%</t>
  </si>
  <si>
    <t>15 years</t>
  </si>
  <si>
    <t>7 years</t>
  </si>
  <si>
    <t>5 years</t>
  </si>
  <si>
    <t>Latest</t>
  </si>
  <si>
    <t>Average Implied ERP-</t>
  </si>
  <si>
    <t>10Y Bond Average Range</t>
  </si>
  <si>
    <t>Average  Rate-</t>
  </si>
  <si>
    <t>20 years</t>
  </si>
  <si>
    <t>Closing Price</t>
  </si>
  <si>
    <t>Monthly Returns</t>
  </si>
  <si>
    <t>Sensex Average Range</t>
  </si>
  <si>
    <t>Average  Returns</t>
  </si>
  <si>
    <t>CAGR Sensex Returns-</t>
  </si>
  <si>
    <t>10 years</t>
  </si>
  <si>
    <t>Source: Market Premia</t>
  </si>
  <si>
    <t>Source: Damodaran</t>
  </si>
  <si>
    <t>Source: Investing.com</t>
  </si>
  <si>
    <t>Source: BSE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</si>
  <si>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</si>
  <si>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</si>
  <si>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</si>
  <si>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</si>
  <si>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</si>
  <si>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</si>
  <si>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</si>
  <si>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</si>
  <si>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</si>
  <si>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</si>
  <si>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</si>
  <si>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</si>
  <si>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</si>
  <si>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</si>
  <si>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</si>
  <si>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</si>
  <si>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</si>
  <si>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</si>
  <si>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</si>
  <si>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</si>
  <si>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</si>
  <si>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</si>
  <si>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</si>
  <si>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</si>
  <si>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</si>
  <si>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</si>
  <si>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</si>
  <si>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</si>
  <si>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Sensex EPS</t>
  </si>
  <si>
    <t>EPS CAGR 3 Years</t>
  </si>
  <si>
    <t>EPS CAGR 5 Years</t>
  </si>
  <si>
    <t>EPS CAGR 7 Years</t>
  </si>
  <si>
    <t>EPS CAGR 10 Years</t>
  </si>
  <si>
    <t>-</t>
  </si>
  <si>
    <t>Average  EPS CAGR-</t>
  </si>
  <si>
    <t>3 years</t>
  </si>
  <si>
    <t>Dividend Amount</t>
  </si>
  <si>
    <t>BB Amount</t>
  </si>
  <si>
    <t>Total Earnings</t>
  </si>
  <si>
    <t>Total Earning Yield</t>
  </si>
  <si>
    <t>Average  Sensex Earning Yield-</t>
  </si>
  <si>
    <t>Valuing the S&amp;P BSE SENSEX</t>
  </si>
  <si>
    <t>Key Inputs</t>
  </si>
  <si>
    <t>Assumptions</t>
  </si>
  <si>
    <t>Current Sensex Level</t>
  </si>
  <si>
    <t>Total Yield</t>
  </si>
  <si>
    <t>Expected Growth</t>
  </si>
  <si>
    <t>Risk-Free Rate</t>
  </si>
  <si>
    <t>Equity Risk Premium</t>
  </si>
  <si>
    <t>Cost of Equity</t>
  </si>
  <si>
    <t>Expected Dividends and Buybacks</t>
  </si>
  <si>
    <t>Cumulative PV Factor [ Risk-free Rate + Equity Risk Premium ]</t>
  </si>
  <si>
    <t>Present Value of Expected Dividends and Buybacks</t>
  </si>
  <si>
    <t>EPS Growth</t>
  </si>
  <si>
    <t>Risk-fr rate</t>
  </si>
  <si>
    <t>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</si>
</sst>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4009]dd/mm/yyyy;@"/>
    <numFmt numFmtId="165" formatCode="[$$-409]#,##0.00"/>
    <numFmt numFmtId="166" formatCode="&quot;₹&quot;\ #,##0.00"/>
    <numFmt numFmtId="167" formatCode="0.0000"/>
  </numFmts>
  <fonts count="13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20"/>
      <color theme="0"/>
      <name val="Calibri"/>
      <family val="2"/>
    </font>
    <font>
      <sz val="11"/>
      <color theme="0"/>
      <name val="Calibri"/>
      <family val="2"/>
    </font>
    <font>
      <sz val="11"/>
      <color rgb="FF002060"/>
      <name val="Calibri"/>
      <family val="2"/>
    </font>
    <font>
      <sz val="11"/>
      <color theme="2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164" fontId="1" fillId="2" borderId="0" xfId="0" applyNumberFormat="1" applyFont="1" applyFill="1"/>
    <xf numFmtId="0" fontId="1" fillId="2" borderId="0" xfId="0" applyFont="1" applyFill="1" applyAlignment="1">
      <alignment horizontal="left"/>
    </xf>
    <xf numFmtId="10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0" fontId="0" fillId="0" borderId="0" xfId="4" applyNumberFormat="1" applyFont="1"/>
    <xf numFmtId="0" fontId="1" fillId="2" borderId="0" xfId="0" applyFont="1" applyFill="1" applyAlignment="1">
      <alignment horizontal="center"/>
    </xf>
    <xf numFmtId="10" fontId="5" fillId="3" borderId="0" xfId="0" applyNumberFormat="1" applyFont="1" applyFill="1"/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165" fontId="5" fillId="0" borderId="2" xfId="0" applyNumberFormat="1" applyFont="1" applyBorder="1" applyAlignment="1">
      <alignment horizontal="right"/>
    </xf>
    <xf numFmtId="10" fontId="5" fillId="0" borderId="2" xfId="4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10" fontId="5" fillId="0" borderId="1" xfId="4" applyNumberFormat="1" applyFont="1" applyBorder="1"/>
    <xf numFmtId="0" fontId="0" fillId="0" borderId="0" xfId="4" applyNumberFormat="1" applyFont="1" applyAlignment="1">
      <alignment horizontal="left"/>
    </xf>
    <xf numFmtId="15" fontId="0" fillId="0" borderId="0" xfId="0" applyNumberFormat="1" applyAlignment="1">
      <alignment horizontal="left"/>
    </xf>
    <xf numFmtId="2" fontId="0" fillId="0" borderId="0" xfId="0" applyNumberFormat="1"/>
    <xf numFmtId="0" fontId="6" fillId="0" borderId="0" xfId="0" applyFont="1"/>
    <xf numFmtId="166" fontId="0" fillId="0" borderId="0" xfId="0" applyNumberFormat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/>
    </xf>
    <xf numFmtId="0" fontId="8" fillId="4" borderId="4" xfId="0" applyFont="1" applyFill="1" applyBorder="1"/>
    <xf numFmtId="0" fontId="1" fillId="4" borderId="3" xfId="0" applyFont="1" applyFill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0" xfId="0" applyFont="1"/>
    <xf numFmtId="10" fontId="0" fillId="0" borderId="0" xfId="4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3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2" fontId="11" fillId="0" borderId="7" xfId="0" applyNumberFormat="1" applyFont="1" applyBorder="1" applyAlignment="1">
      <alignment horizontal="center"/>
    </xf>
    <xf numFmtId="0" fontId="7" fillId="4" borderId="9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5">
    <cellStyle name="Hyperlink 2" xfId="2" xr:uid="{93BC60FD-9CF3-4684-894C-885FC2837164}"/>
    <cellStyle name="Normal" xfId="0" builtinId="0"/>
    <cellStyle name="Normal 2" xfId="1" xr:uid="{DE69F0C2-0EF6-4060-9163-B4AF54547200}"/>
    <cellStyle name="Percent" xfId="4" builtinId="5"/>
    <cellStyle name="Percent 2" xfId="3" xr:uid="{E20DE3BF-E3D9-4D28-97B4-120F38CE614B}"/>
  </cellStyles>
  <dxfs count="4">
    <dxf>
      <font>
        <strike val="0"/>
        <color rgb="FF008000"/>
      </font>
      <fill>
        <patternFill>
          <bgColor theme="9" tint="0.3999450666829432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70C0"/>
      </font>
      <fill>
        <patternFill>
          <bgColor theme="3" tint="0.89996032593768116"/>
        </patternFill>
      </fill>
    </dxf>
    <dxf>
      <font>
        <color rgb="FF00800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0080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Historical</a:t>
            </a:r>
            <a:r>
              <a:rPr lang="en-IN" baseline="0"/>
              <a:t> Dividend &amp; Buybacks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'ExpDiv&amp;BB'!$E$2</c:f>
              <c:strCache>
                <c:ptCount val="1"/>
                <c:pt idx="0">
                  <c:v>Dividend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'ExpDiv&amp;BB'!$B$3:$B$29</c:f>
              <c:numCache>
                <c:formatCode>General</c:formatCode>
                <c:ptCount val="27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</c:numCache>
            </c:numRef>
          </c:cat>
          <c:val>
            <c:numRef>
              <c:f>'ExpDiv&amp;BB'!$E$3:$E$29</c:f>
              <c:numCache>
                <c:formatCode>"₹"\ #,##0.00</c:formatCode>
                <c:ptCount val="27"/>
                <c:pt idx="0">
                  <c:v>60.073998833333334</c:v>
                </c:pt>
                <c:pt idx="1">
                  <c:v>51.416767499999992</c:v>
                </c:pt>
                <c:pt idx="2">
                  <c:v>56.273083333333318</c:v>
                </c:pt>
                <c:pt idx="3">
                  <c:v>67.780472500000002</c:v>
                </c:pt>
                <c:pt idx="4">
                  <c:v>71.395781166666666</c:v>
                </c:pt>
                <c:pt idx="5">
                  <c:v>80.543058166666668</c:v>
                </c:pt>
                <c:pt idx="6">
                  <c:v>111.03201666666666</c:v>
                </c:pt>
                <c:pt idx="7">
                  <c:v>110.97583899999997</c:v>
                </c:pt>
                <c:pt idx="8">
                  <c:v>152.79291983333331</c:v>
                </c:pt>
                <c:pt idx="9">
                  <c:v>165.37500199999999</c:v>
                </c:pt>
                <c:pt idx="10">
                  <c:v>213.23718999999997</c:v>
                </c:pt>
                <c:pt idx="11">
                  <c:v>172.87438299999999</c:v>
                </c:pt>
                <c:pt idx="12">
                  <c:v>202.10392525</c:v>
                </c:pt>
                <c:pt idx="13">
                  <c:v>249.91379325000005</c:v>
                </c:pt>
                <c:pt idx="14">
                  <c:v>292.49156733333325</c:v>
                </c:pt>
                <c:pt idx="15">
                  <c:v>295.90612499999992</c:v>
                </c:pt>
                <c:pt idx="16">
                  <c:v>321.73888925</c:v>
                </c:pt>
                <c:pt idx="17">
                  <c:v>380.62258799999995</c:v>
                </c:pt>
                <c:pt idx="18">
                  <c:v>379.03141466666665</c:v>
                </c:pt>
                <c:pt idx="19">
                  <c:v>380.18661749999995</c:v>
                </c:pt>
                <c:pt idx="20">
                  <c:v>424.63903474999995</c:v>
                </c:pt>
                <c:pt idx="21">
                  <c:v>456.85201549999999</c:v>
                </c:pt>
                <c:pt idx="22">
                  <c:v>371.88143300000007</c:v>
                </c:pt>
                <c:pt idx="23">
                  <c:v>502.8910934999999</c:v>
                </c:pt>
                <c:pt idx="24">
                  <c:v>697.69740000000002</c:v>
                </c:pt>
                <c:pt idx="25">
                  <c:v>772.6332991666668</c:v>
                </c:pt>
                <c:pt idx="26">
                  <c:v>900.08105233333333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41-4CDA-B5B4-03648DB524C8}"/>
            </c:ext>
          </c:extLst>
        </c:ser>
        <c:ser>
          <c:idx val="1"/>
          <c:order val="1"/>
          <c:tx>
            <c:strRef>
              <c:f>'ExpDiv&amp;BB'!$F$2</c:f>
              <c:strCache>
                <c:ptCount val="1"/>
                <c:pt idx="0">
                  <c:v>BB Amount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numRef>
              <c:f>'ExpDiv&amp;BB'!$B$3:$B$29</c:f>
              <c:numCache>
                <c:formatCode>General</c:formatCode>
                <c:ptCount val="27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</c:numCache>
            </c:numRef>
          </c:cat>
          <c:val>
            <c:numRef>
              <c:f>'ExpDiv&amp;BB'!$F$3:$F$29</c:f>
              <c:numCache>
                <c:formatCode>"₹"\ #,##0.00</c:formatCode>
                <c:ptCount val="27"/>
                <c:pt idx="0">
                  <c:v>0.87447106550173126</c:v>
                </c:pt>
                <c:pt idx="1">
                  <c:v>0.74845151535727961</c:v>
                </c:pt>
                <c:pt idx="2">
                  <c:v>0.81914279217688668</c:v>
                </c:pt>
                <c:pt idx="3">
                  <c:v>0.98665084992473373</c:v>
                </c:pt>
                <c:pt idx="4">
                  <c:v>1.0392773253259922</c:v>
                </c:pt>
                <c:pt idx="5">
                  <c:v>1.1724302570431171</c:v>
                </c:pt>
                <c:pt idx="6">
                  <c:v>1.616244761542845</c:v>
                </c:pt>
                <c:pt idx="7">
                  <c:v>1.6154270076895727</c:v>
                </c:pt>
                <c:pt idx="8">
                  <c:v>2.2241400606353108</c:v>
                </c:pt>
                <c:pt idx="9">
                  <c:v>2.4072919568332094</c:v>
                </c:pt>
                <c:pt idx="10">
                  <c:v>3.1040010048478472</c:v>
                </c:pt>
                <c:pt idx="11">
                  <c:v>2.5164571834043192</c:v>
                </c:pt>
                <c:pt idx="12">
                  <c:v>2.9419389134685856</c:v>
                </c:pt>
                <c:pt idx="13">
                  <c:v>3.6378863620053212</c:v>
                </c:pt>
                <c:pt idx="14">
                  <c:v>4.2576724956476326</c:v>
                </c:pt>
                <c:pt idx="15">
                  <c:v>4.3073767260796894</c:v>
                </c:pt>
                <c:pt idx="16">
                  <c:v>4.6834130365844269</c:v>
                </c:pt>
                <c:pt idx="17">
                  <c:v>5.5405574216195035</c:v>
                </c:pt>
                <c:pt idx="18">
                  <c:v>5.517395403654656</c:v>
                </c:pt>
                <c:pt idx="19">
                  <c:v>5.5342111887223062</c:v>
                </c:pt>
                <c:pt idx="20">
                  <c:v>6.1812856873682307</c:v>
                </c:pt>
                <c:pt idx="21">
                  <c:v>6.6501960337160915</c:v>
                </c:pt>
                <c:pt idx="22">
                  <c:v>5.4133162311708283</c:v>
                </c:pt>
                <c:pt idx="23">
                  <c:v>7.3203668626145033</c:v>
                </c:pt>
                <c:pt idx="24">
                  <c:v>10.156077514807482</c:v>
                </c:pt>
                <c:pt idx="25">
                  <c:v>11.24688679771217</c:v>
                </c:pt>
                <c:pt idx="26">
                  <c:v>13.102088293731384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141-4CDA-B5B4-03648DB52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9064784"/>
        <c:axId val="1489067664"/>
      </c:lineChart>
      <c:catAx>
        <c:axId val="14890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067664"/>
        <c:crosses val="autoZero"/>
        <c:auto val="1"/>
        <c:lblAlgn val="ctr"/>
        <c:lblOffset val="100"/>
        <c:tickLblSkip val="2"/>
        <c:noMultiLvlLbl val="0"/>
      </c:catAx>
      <c:valAx>
        <c:axId val="148906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064784"/>
        <c:crosses val="autoZero"/>
        <c:crossBetween val="between"/>
        <c:majorUnit val="1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Sensex EPS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SensexEPSGrowth!$E$2</c:f>
              <c:strCache>
                <c:ptCount val="1"/>
                <c:pt idx="0">
                  <c:v>Sensex EPS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SensexEPSGrowth!$B$3:$B$29</c:f>
              <c:numCache>
                <c:formatCode>General</c:formatCode>
                <c:ptCount val="27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</c:numCache>
            </c:numRef>
          </c:cat>
          <c:val>
            <c:numRef>
              <c:f>SensexEPSGrowth!$E$3:$E$29</c:f>
              <c:numCache>
                <c:formatCode>"₹"\ #,##0.00</c:formatCode>
                <c:ptCount val="27"/>
                <c:pt idx="0">
                  <c:v>256.66945308449976</c:v>
                </c:pt>
                <c:pt idx="1">
                  <c:v>211.54984817813761</c:v>
                </c:pt>
                <c:pt idx="2">
                  <c:v>188.44063066834096</c:v>
                </c:pt>
                <c:pt idx="3">
                  <c:v>210.02547834843907</c:v>
                </c:pt>
                <c:pt idx="4">
                  <c:v>222.64495750057432</c:v>
                </c:pt>
                <c:pt idx="5">
                  <c:v>245.21868562010715</c:v>
                </c:pt>
                <c:pt idx="6">
                  <c:v>335.24159621578099</c:v>
                </c:pt>
                <c:pt idx="7">
                  <c:v>441.5999705535923</c:v>
                </c:pt>
                <c:pt idx="8">
                  <c:v>562.9141731016731</c:v>
                </c:pt>
                <c:pt idx="9">
                  <c:v>703.29245908889868</c:v>
                </c:pt>
                <c:pt idx="10">
                  <c:v>895.83413154533832</c:v>
                </c:pt>
                <c:pt idx="11">
                  <c:v>692.57240437158475</c:v>
                </c:pt>
                <c:pt idx="12">
                  <c:v>842.94263117283947</c:v>
                </c:pt>
                <c:pt idx="13">
                  <c:v>958.07472972972994</c:v>
                </c:pt>
                <c:pt idx="14">
                  <c:v>1043.5840647552175</c:v>
                </c:pt>
                <c:pt idx="15">
                  <c:v>1135.0445914844647</c:v>
                </c:pt>
                <c:pt idx="16">
                  <c:v>1331.6070030254493</c:v>
                </c:pt>
                <c:pt idx="17">
                  <c:v>1356.9335976214072</c:v>
                </c:pt>
                <c:pt idx="18">
                  <c:v>1285.4361461364369</c:v>
                </c:pt>
                <c:pt idx="19">
                  <c:v>1310.4641505466777</c:v>
                </c:pt>
                <c:pt idx="20">
                  <c:v>1505.0169759595108</c:v>
                </c:pt>
                <c:pt idx="21">
                  <c:v>1464.3068267776096</c:v>
                </c:pt>
                <c:pt idx="22">
                  <c:v>1350.4300711743774</c:v>
                </c:pt>
                <c:pt idx="23">
                  <c:v>1811.6848120555367</c:v>
                </c:pt>
                <c:pt idx="24">
                  <c:v>2537.8197293758185</c:v>
                </c:pt>
                <c:pt idx="25">
                  <c:v>2649.5432226832645</c:v>
                </c:pt>
                <c:pt idx="26">
                  <c:v>3344.5342313218393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55-418C-8F4A-55E8E02EA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041840"/>
        <c:axId val="1626046160"/>
      </c:lineChart>
      <c:catAx>
        <c:axId val="162604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046160"/>
        <c:crosses val="autoZero"/>
        <c:auto val="1"/>
        <c:lblAlgn val="ctr"/>
        <c:lblOffset val="100"/>
        <c:noMultiLvlLbl val="0"/>
      </c:catAx>
      <c:valAx>
        <c:axId val="1626046160"/>
        <c:scaling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04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Historical</a:t>
            </a:r>
            <a:r>
              <a:rPr lang="en-US" baseline="0"/>
              <a:t> Sensex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SensexHistorical!$G$2</c:f>
              <c:strCache>
                <c:ptCount val="1"/>
                <c:pt idx="0">
                  <c:v>Sensex Average Range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SensexHistorical!$F$3:$F$29</c:f>
              <c:numCache>
                <c:formatCode>General</c:formatCode>
                <c:ptCount val="27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</c:numCache>
            </c:numRef>
          </c:cat>
          <c:val>
            <c:numRef>
              <c:f>SensexHistorical!$G$3:$G$29</c:f>
              <c:numCache>
                <c:formatCode>0.00</c:formatCode>
                <c:ptCount val="27"/>
                <c:pt idx="0">
                  <c:v>3300.7691666666665</c:v>
                </c:pt>
                <c:pt idx="1">
                  <c:v>4180.2249999999995</c:v>
                </c:pt>
                <c:pt idx="2">
                  <c:v>4501.8466666666654</c:v>
                </c:pt>
                <c:pt idx="3">
                  <c:v>3475.9216666666666</c:v>
                </c:pt>
                <c:pt idx="4">
                  <c:v>3230.5783333333334</c:v>
                </c:pt>
                <c:pt idx="5">
                  <c:v>3967.6383333333338</c:v>
                </c:pt>
                <c:pt idx="6">
                  <c:v>5551.600833333333</c:v>
                </c:pt>
                <c:pt idx="7">
                  <c:v>7498.3674999999976</c:v>
                </c:pt>
                <c:pt idx="8">
                  <c:v>11663.581666666665</c:v>
                </c:pt>
                <c:pt idx="9">
                  <c:v>15901.442499999999</c:v>
                </c:pt>
                <c:pt idx="10">
                  <c:v>14028.762499999999</c:v>
                </c:pt>
                <c:pt idx="11">
                  <c:v>13941.4825</c:v>
                </c:pt>
                <c:pt idx="12">
                  <c:v>18207.560833333333</c:v>
                </c:pt>
                <c:pt idx="13">
                  <c:v>17724.382500000003</c:v>
                </c:pt>
                <c:pt idx="14">
                  <c:v>17834.851666666666</c:v>
                </c:pt>
                <c:pt idx="15">
                  <c:v>19727.074999999997</c:v>
                </c:pt>
                <c:pt idx="16">
                  <c:v>24940.999166666665</c:v>
                </c:pt>
                <c:pt idx="17">
                  <c:v>27382.92</c:v>
                </c:pt>
                <c:pt idx="18">
                  <c:v>26505.693333333333</c:v>
                </c:pt>
                <c:pt idx="19">
                  <c:v>31162.837499999998</c:v>
                </c:pt>
                <c:pt idx="20">
                  <c:v>35683.952499999999</c:v>
                </c:pt>
                <c:pt idx="21">
                  <c:v>38716.272499999999</c:v>
                </c:pt>
                <c:pt idx="22">
                  <c:v>37947.085000000006</c:v>
                </c:pt>
                <c:pt idx="23">
                  <c:v>53499.052499999998</c:v>
                </c:pt>
                <c:pt idx="24">
                  <c:v>58141.450000000004</c:v>
                </c:pt>
                <c:pt idx="25">
                  <c:v>63853.991666666676</c:v>
                </c:pt>
                <c:pt idx="26">
                  <c:v>77593.194166666668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A0-4F29-BC3D-70B5E4740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204608"/>
        <c:axId val="1628205088"/>
      </c:lineChart>
      <c:catAx>
        <c:axId val="162820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205088"/>
        <c:crosses val="autoZero"/>
        <c:auto val="1"/>
        <c:lblAlgn val="ctr"/>
        <c:lblOffset val="100"/>
        <c:noMultiLvlLbl val="0"/>
      </c:catAx>
      <c:valAx>
        <c:axId val="1628205088"/>
        <c:scaling>
          <c:orientation val="minMax"/>
          <c:max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20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10Y GOI Bond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RfrHistorical!$J$2</c:f>
              <c:strCache>
                <c:ptCount val="1"/>
                <c:pt idx="0">
                  <c:v>10Y Bond Average Range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RfrHistorical!$I$3:$I$29</c:f>
              <c:numCache>
                <c:formatCode>General</c:formatCode>
                <c:ptCount val="27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</c:numCache>
            </c:numRef>
          </c:cat>
          <c:val>
            <c:numRef>
              <c:f>RfrHistorical!$J$3:$J$29</c:f>
              <c:numCache>
                <c:formatCode>0.00%</c:formatCode>
                <c:ptCount val="27"/>
                <c:pt idx="0">
                  <c:v>0.12149700000000001</c:v>
                </c:pt>
                <c:pt idx="1">
                  <c:v>0.11739166666666667</c:v>
                </c:pt>
                <c:pt idx="2">
                  <c:v>0.11044916666666667</c:v>
                </c:pt>
                <c:pt idx="3">
                  <c:v>9.3700833333333344E-2</c:v>
                </c:pt>
                <c:pt idx="4">
                  <c:v>7.1952500000000016E-2</c:v>
                </c:pt>
                <c:pt idx="5">
                  <c:v>5.6047500000000007E-2</c:v>
                </c:pt>
                <c:pt idx="6">
                  <c:v>5.9314166666666675E-2</c:v>
                </c:pt>
                <c:pt idx="7">
                  <c:v>6.9710000000000008E-2</c:v>
                </c:pt>
                <c:pt idx="8">
                  <c:v>7.662833333333334E-2</c:v>
                </c:pt>
                <c:pt idx="9">
                  <c:v>7.9529166666666651E-2</c:v>
                </c:pt>
                <c:pt idx="10">
                  <c:v>7.8546666666666667E-2</c:v>
                </c:pt>
                <c:pt idx="11">
                  <c:v>6.948583333333333E-2</c:v>
                </c:pt>
                <c:pt idx="12">
                  <c:v>7.8485000000000013E-2</c:v>
                </c:pt>
                <c:pt idx="13">
                  <c:v>8.3657499999999996E-2</c:v>
                </c:pt>
                <c:pt idx="14">
                  <c:v>8.2949999999999996E-2</c:v>
                </c:pt>
                <c:pt idx="15">
                  <c:v>8.1975833333333317E-2</c:v>
                </c:pt>
                <c:pt idx="16">
                  <c:v>8.555083333333334E-2</c:v>
                </c:pt>
                <c:pt idx="17">
                  <c:v>7.7501666666666677E-2</c:v>
                </c:pt>
                <c:pt idx="18">
                  <c:v>7.1738333333333348E-2</c:v>
                </c:pt>
                <c:pt idx="19">
                  <c:v>6.7472499999999991E-2</c:v>
                </c:pt>
                <c:pt idx="20">
                  <c:v>7.718916666666667E-2</c:v>
                </c:pt>
                <c:pt idx="21">
                  <c:v>6.918500000000001E-2</c:v>
                </c:pt>
                <c:pt idx="22">
                  <c:v>6.0612500000000007E-2</c:v>
                </c:pt>
                <c:pt idx="23">
                  <c:v>6.1889999999999994E-2</c:v>
                </c:pt>
                <c:pt idx="24">
                  <c:v>7.1882500000000002E-2</c:v>
                </c:pt>
                <c:pt idx="25">
                  <c:v>7.2236666666666671E-2</c:v>
                </c:pt>
                <c:pt idx="26">
                  <c:v>6.9460000000000008E-2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E9-4218-97BF-C3F405536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673632"/>
        <c:axId val="101670272"/>
      </c:lineChart>
      <c:catAx>
        <c:axId val="10167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70272"/>
        <c:crosses val="autoZero"/>
        <c:auto val="1"/>
        <c:lblAlgn val="ctr"/>
        <c:lblOffset val="100"/>
        <c:noMultiLvlLbl val="0"/>
      </c:catAx>
      <c:valAx>
        <c:axId val="1016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7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ErpHistorical!$C$2</c:f>
              <c:strCache>
                <c:ptCount val="1"/>
                <c:pt idx="0">
                  <c:v>Implied ERP of India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ErpHistorical!$B$3:$B$31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ErpHistorical!$C$3:$C$31</c:f>
              <c:numCache>
                <c:formatCode>0.00%</c:formatCode>
                <c:ptCount val="29"/>
                <c:pt idx="0">
                  <c:v>0.02</c:v>
                </c:pt>
                <c:pt idx="1">
                  <c:v>0.02</c:v>
                </c:pt>
                <c:pt idx="2">
                  <c:v>1.9699999999999999E-2</c:v>
                </c:pt>
                <c:pt idx="3">
                  <c:v>1.9900000000000001E-2</c:v>
                </c:pt>
                <c:pt idx="4">
                  <c:v>5.5E-2</c:v>
                </c:pt>
                <c:pt idx="5">
                  <c:v>4.9200000000000001E-2</c:v>
                </c:pt>
                <c:pt idx="6">
                  <c:v>7.0800000000000002E-2</c:v>
                </c:pt>
                <c:pt idx="7">
                  <c:v>4.5600000000000002E-2</c:v>
                </c:pt>
                <c:pt idx="8">
                  <c:v>4.8599999999999997E-2</c:v>
                </c:pt>
                <c:pt idx="9">
                  <c:v>3.1800000000000002E-2</c:v>
                </c:pt>
                <c:pt idx="10">
                  <c:v>3.0800000000000001E-2</c:v>
                </c:pt>
                <c:pt idx="11">
                  <c:v>4.1099999999999998E-2</c:v>
                </c:pt>
                <c:pt idx="12">
                  <c:v>3.2199999999999999E-2</c:v>
                </c:pt>
                <c:pt idx="13">
                  <c:v>2.7E-2</c:v>
                </c:pt>
                <c:pt idx="14">
                  <c:v>3.6600000000000001E-2</c:v>
                </c:pt>
                <c:pt idx="15">
                  <c:v>3.6499999999999998E-2</c:v>
                </c:pt>
                <c:pt idx="16">
                  <c:v>2.8199999999999999E-2</c:v>
                </c:pt>
                <c:pt idx="17">
                  <c:v>2.3599999999999999E-2</c:v>
                </c:pt>
                <c:pt idx="18">
                  <c:v>2.5600000000000001E-2</c:v>
                </c:pt>
                <c:pt idx="19">
                  <c:v>2.3800000000000002E-2</c:v>
                </c:pt>
                <c:pt idx="20">
                  <c:v>1.9300000000000001E-2</c:v>
                </c:pt>
                <c:pt idx="21">
                  <c:v>2.01E-2</c:v>
                </c:pt>
                <c:pt idx="22">
                  <c:v>2.1899999999999999E-2</c:v>
                </c:pt>
                <c:pt idx="23">
                  <c:v>1.95E-2</c:v>
                </c:pt>
                <c:pt idx="24">
                  <c:v>1.8100000000000002E-2</c:v>
                </c:pt>
                <c:pt idx="25">
                  <c:v>1.5800000000000002E-2</c:v>
                </c:pt>
                <c:pt idx="26">
                  <c:v>1.6500000000000001E-2</c:v>
                </c:pt>
                <c:pt idx="27">
                  <c:v>1.43E-2</c:v>
                </c:pt>
                <c:pt idx="28">
                  <c:v>1.67E-2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97-4136-8FC5-C96013209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391472"/>
        <c:axId val="370391952"/>
      </c:lineChart>
      <c:catAx>
        <c:axId val="37039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391952"/>
        <c:crosses val="autoZero"/>
        <c:auto val="1"/>
        <c:lblAlgn val="ctr"/>
        <c:lblOffset val="100"/>
        <c:noMultiLvlLbl val="0"/>
      </c:catAx>
      <c:valAx>
        <c:axId val="37039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39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15</xdr:row>
      <xdr:rowOff>80010</xdr:rowOff>
    </xdr:from>
    <xdr:to>
      <xdr:col>14</xdr:col>
      <xdr:colOff>289560</xdr:colOff>
      <xdr:row>30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EFD4EB-CFB7-20F5-15DB-78639DA89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577750</xdr:colOff>
      <xdr:row>30</xdr:row>
      <xdr:rowOff>33348</xdr:rowOff>
    </xdr:from>
    <xdr:to>
      <xdr:col>8</xdr:col>
      <xdr:colOff>613795</xdr:colOff>
      <xdr:row>45</xdr:row>
      <xdr:rowOff>33348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B40DF3-8099-1964-240B-E171F801F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14</xdr:row>
      <xdr:rowOff>41910</xdr:rowOff>
    </xdr:from>
    <xdr:to>
      <xdr:col>15</xdr:col>
      <xdr:colOff>182880</xdr:colOff>
      <xdr:row>29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457070-759C-DED1-6959-FE9186D24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373380</xdr:colOff>
      <xdr:row>13</xdr:row>
      <xdr:rowOff>133350</xdr:rowOff>
    </xdr:from>
    <xdr:to>
      <xdr:col>17</xdr:col>
      <xdr:colOff>441960</xdr:colOff>
      <xdr:row>28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4B2F02-A77A-3046-E5F9-1F04CB8D7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13</xdr:row>
      <xdr:rowOff>57150</xdr:rowOff>
    </xdr:from>
    <xdr:to>
      <xdr:col>10</xdr:col>
      <xdr:colOff>175260</xdr:colOff>
      <xdr:row>28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7D2055-30C2-6FB0-F9BA-DA57B115B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7B3A-C6B1-4109-A448-47AF1A8A7E0E}">
  <sheetPr>
    <tabColor theme="3" tint="9.9978637043366805E-2"/>
  </sheetPr>
  <dimension ref="B2"/>
  <sheetViews>
    <sheetView showGridLines="0" workbookViewId="0">
      <selection activeCell="F31" sqref="F31"/>
    </sheetView>
  </sheetViews>
  <sheetFormatPr defaultRowHeight="14.4" x14ac:dyDescent="0.3"/>
  <cols>
    <col min="1" max="1" width="1.88671875" customWidth="1"/>
  </cols>
  <sheetData>
    <row r="2" spans="2:2" x14ac:dyDescent="0.3">
      <c r="B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E422B-C8F5-43CF-A125-E1661152A8BB}">
  <dimension ref="B5:M33"/>
  <sheetViews>
    <sheetView showGridLines="0" topLeftCell="A4" workbookViewId="0">
      <selection activeCell="H11" sqref="H11"/>
    </sheetView>
  </sheetViews>
  <sheetFormatPr defaultRowHeight="14.4" x14ac:dyDescent="0.3"/>
  <cols>
    <col min="1" max="1" width="1.88671875" customWidth="1"/>
    <col min="2" max="2" width="29.33203125" customWidth="1"/>
    <col min="3" max="3" width="28.5546875" bestFit="1" customWidth="1"/>
    <col min="4" max="4" width="28.6640625" customWidth="1"/>
    <col min="5" max="5" width="41.109375" customWidth="1"/>
    <col min="10" max="10" width="9.5546875" bestFit="1" customWidth="1"/>
    <col min="11" max="11" width="10.44140625" bestFit="1" customWidth="1"/>
    <col min="12" max="12" width="10" bestFit="1" customWidth="1"/>
  </cols>
  <sheetData>
    <row r="5" spans="2:5" ht="25.8" x14ac:dyDescent="0.35">
      <c r="B5" s="53" t="s">
        <v>177</v>
      </c>
      <c r="C5" s="54"/>
      <c r="D5" s="55"/>
      <c r="E5" s="52">
        <f>IF(OR(C8="",C9="",C10="",C11="",C12=""),"Provide Correct Inputs", SUM(E15:E25))</f>
        <v>91329.560530515169</v>
      </c>
    </row>
    <row r="6" spans="2:5" x14ac:dyDescent="0.3">
      <c r="B6" s="34" t="s">
        <v>178</v>
      </c>
      <c r="C6" s="35"/>
      <c r="D6" s="36" t="s">
        <v>179</v>
      </c>
      <c r="E6" s="56" t="str">
        <f>IF(OR(C8="",C9="",C10="",C11="",C12=""),"Provide Correct Inputs", IF(E5&gt;1.05*D8,"Undervalued",IF(E5&lt;0.95*D8,"Overvalued","Fairly Valued")))</f>
        <v>Undervalued</v>
      </c>
    </row>
    <row r="7" spans="2:5" x14ac:dyDescent="0.3">
      <c r="B7" s="38" t="s">
        <v>10</v>
      </c>
      <c r="C7" s="37">
        <f ca="1">TODAY()</f>
        <v>46111</v>
      </c>
      <c r="D7" s="46">
        <f ca="1">C7</f>
        <v>46111</v>
      </c>
      <c r="E7" s="57"/>
    </row>
    <row r="8" spans="2:5" x14ac:dyDescent="0.3">
      <c r="B8" s="38" t="s">
        <v>180</v>
      </c>
      <c r="C8" s="40">
        <v>73583.22</v>
      </c>
      <c r="D8" s="28">
        <f>C8</f>
        <v>73583.22</v>
      </c>
      <c r="E8" s="58" t="str">
        <f>IF(OR(C8="",C9="",C10="",C11="",C12=""),"Provide Correct Inputs","The market implied fair value of Sensex is "&amp;ROUNDUP(E5,0)&amp;". The Sensex is currently trading at "&amp;ROUNDUP(D8,0)&amp;". A "&amp;TEXT(ABS((D8-E5)/D8),"0.00%"))&amp;" "&amp;IF(E6="Undervalued","appreciation",IF(E6="overvalued","correction","adjustment"))&amp;" is expected from this level."</f>
        <v>The market implied fair value of Sensex is 91330. The Sensex is currently trading at 73584. A 24.12% appreciation is expected from this level.</v>
      </c>
    </row>
    <row r="9" spans="2:5" x14ac:dyDescent="0.3">
      <c r="B9" s="38" t="s">
        <v>181</v>
      </c>
      <c r="C9" s="40" t="s">
        <v>125</v>
      </c>
      <c r="D9" s="43">
        <f>VLOOKUP(C9,'ExpDiv&amp;BB'!K4:L14,2,0)</f>
        <v>1.2905159506095836E-2</v>
      </c>
      <c r="E9" s="59"/>
    </row>
    <row r="10" spans="2:5" x14ac:dyDescent="0.3">
      <c r="B10" s="38" t="s">
        <v>182</v>
      </c>
      <c r="C10" s="40" t="s">
        <v>131</v>
      </c>
      <c r="D10" s="44">
        <f>VLOOKUP(C10,SensexEPSGrowth!L4:M10,2,0)</f>
        <v>0.10924129167475632</v>
      </c>
      <c r="E10" s="59"/>
    </row>
    <row r="11" spans="2:5" x14ac:dyDescent="0.3">
      <c r="B11" s="38" t="s">
        <v>183</v>
      </c>
      <c r="C11" s="40" t="s">
        <v>121</v>
      </c>
      <c r="D11" s="44">
        <f>VLOOKUP(C11,RfrHistorical!M4:N12,2,0)</f>
        <v>6.5879999999999994E-2</v>
      </c>
      <c r="E11" s="59"/>
    </row>
    <row r="12" spans="2:5" x14ac:dyDescent="0.3">
      <c r="B12" s="38" t="s">
        <v>184</v>
      </c>
      <c r="C12" s="40" t="s">
        <v>121</v>
      </c>
      <c r="D12" s="44">
        <f>VLOOKUP(C12,ErpHistorical!F4:G10,2,0)</f>
        <v>1.67E-2</v>
      </c>
      <c r="E12" s="59"/>
    </row>
    <row r="13" spans="2:5" x14ac:dyDescent="0.3">
      <c r="B13" s="39" t="s">
        <v>185</v>
      </c>
      <c r="C13" s="29"/>
      <c r="D13" s="45">
        <f>D11+D12</f>
        <v>8.2579999999999987E-2</v>
      </c>
      <c r="E13" s="60"/>
    </row>
    <row r="14" spans="2:5" ht="28.8" x14ac:dyDescent="0.3">
      <c r="B14" s="30" t="s">
        <v>1</v>
      </c>
      <c r="C14" s="31" t="s">
        <v>186</v>
      </c>
      <c r="D14" s="32" t="s">
        <v>187</v>
      </c>
      <c r="E14" s="33" t="s">
        <v>188</v>
      </c>
    </row>
    <row r="15" spans="2:5" x14ac:dyDescent="0.3">
      <c r="B15" s="40">
        <v>2025</v>
      </c>
      <c r="C15" s="47">
        <f>$D$8*$D$9*(1+$D$10)^(B15-($B$15-1))</f>
        <v>1053.3390702433323</v>
      </c>
      <c r="D15" s="49">
        <f>1/((1+($D$13))^(B15-($B$15-1)))</f>
        <v>0.92371926324151554</v>
      </c>
      <c r="E15" s="51">
        <f>C15*D15</f>
        <v>972.98958990867391</v>
      </c>
    </row>
    <row r="16" spans="2:5" x14ac:dyDescent="0.3">
      <c r="B16" s="40">
        <f>B15+1</f>
        <v>2026</v>
      </c>
      <c r="C16" s="47">
        <f t="shared" ref="C16:C24" si="0">$D$8*$D$9*(1+$D$10)^(B16-($B$15-1))</f>
        <v>1168.4071908482008</v>
      </c>
      <c r="D16" s="49">
        <f t="shared" ref="D16:D24" si="1">1/((1+($D$13))^(B16-($B$15-1)))</f>
        <v>0.85325727728344836</v>
      </c>
      <c r="E16" s="51">
        <f t="shared" ref="E16:E25" si="2">C16*D16</f>
        <v>996.95193842153822</v>
      </c>
    </row>
    <row r="17" spans="2:13" x14ac:dyDescent="0.3">
      <c r="B17" s="40">
        <f t="shared" ref="B17:B24" si="3">B16+1</f>
        <v>2027</v>
      </c>
      <c r="C17" s="47">
        <f t="shared" si="0"/>
        <v>1296.0455015785319</v>
      </c>
      <c r="D17" s="49">
        <f t="shared" si="1"/>
        <v>0.7881701835277285</v>
      </c>
      <c r="E17" s="51">
        <f t="shared" si="2"/>
        <v>1021.5044208394385</v>
      </c>
    </row>
    <row r="18" spans="2:13" x14ac:dyDescent="0.3">
      <c r="B18" s="40">
        <f t="shared" si="3"/>
        <v>2028</v>
      </c>
      <c r="C18" s="47">
        <f t="shared" si="0"/>
        <v>1437.627186240228</v>
      </c>
      <c r="D18" s="49">
        <f t="shared" si="1"/>
        <v>0.72804798123716352</v>
      </c>
      <c r="E18" s="51">
        <f t="shared" si="2"/>
        <v>1046.6615707138617</v>
      </c>
    </row>
    <row r="19" spans="2:13" x14ac:dyDescent="0.3">
      <c r="B19" s="40">
        <f t="shared" si="3"/>
        <v>2029</v>
      </c>
      <c r="C19" s="47">
        <f t="shared" si="0"/>
        <v>1594.6754370118558</v>
      </c>
      <c r="D19" s="49">
        <f t="shared" si="1"/>
        <v>0.67251194483286547</v>
      </c>
      <c r="E19" s="51">
        <f t="shared" si="2"/>
        <v>1072.4382795220429</v>
      </c>
    </row>
    <row r="20" spans="2:13" x14ac:dyDescent="0.3">
      <c r="B20" s="40">
        <f t="shared" si="3"/>
        <v>2030</v>
      </c>
      <c r="C20" s="47">
        <f t="shared" si="0"/>
        <v>1768.8798415530375</v>
      </c>
      <c r="D20" s="49">
        <f t="shared" si="1"/>
        <v>0.62121223820213323</v>
      </c>
      <c r="E20" s="51">
        <f t="shared" si="2"/>
        <v>1098.8498054817971</v>
      </c>
    </row>
    <row r="21" spans="2:13" x14ac:dyDescent="0.3">
      <c r="B21" s="40">
        <f t="shared" si="3"/>
        <v>2031</v>
      </c>
      <c r="C21" s="47">
        <f t="shared" si="0"/>
        <v>1962.1145602617296</v>
      </c>
      <c r="D21" s="49">
        <f t="shared" si="1"/>
        <v>0.5738257109886874</v>
      </c>
      <c r="E21" s="51">
        <f t="shared" si="2"/>
        <v>1125.9117825834428</v>
      </c>
    </row>
    <row r="22" spans="2:13" x14ac:dyDescent="0.3">
      <c r="B22" s="40">
        <f t="shared" si="3"/>
        <v>2032</v>
      </c>
      <c r="C22" s="47">
        <f t="shared" si="0"/>
        <v>2176.4584892385669</v>
      </c>
      <c r="D22" s="49">
        <f t="shared" si="1"/>
        <v>0.53005386298350921</v>
      </c>
      <c r="E22" s="51">
        <f t="shared" si="2"/>
        <v>1153.6402298441549</v>
      </c>
    </row>
    <row r="23" spans="2:13" x14ac:dyDescent="0.3">
      <c r="B23" s="40">
        <f t="shared" si="3"/>
        <v>2033</v>
      </c>
      <c r="C23" s="47">
        <f t="shared" si="0"/>
        <v>2414.2176258794771</v>
      </c>
      <c r="D23" s="49">
        <f t="shared" si="1"/>
        <v>0.48962096379344627</v>
      </c>
      <c r="E23" s="51">
        <f t="shared" si="2"/>
        <v>1182.0515607902353</v>
      </c>
    </row>
    <row r="24" spans="2:13" x14ac:dyDescent="0.3">
      <c r="B24" s="40">
        <f t="shared" si="3"/>
        <v>2034</v>
      </c>
      <c r="C24" s="47">
        <f t="shared" si="0"/>
        <v>2677.9498777145145</v>
      </c>
      <c r="D24" s="49">
        <f t="shared" si="1"/>
        <v>0.45227231594288309</v>
      </c>
      <c r="E24" s="51">
        <f t="shared" si="2"/>
        <v>1211.1625931729041</v>
      </c>
    </row>
    <row r="25" spans="2:13" x14ac:dyDescent="0.3">
      <c r="B25" s="41" t="str">
        <f>B24&amp;" - "&amp;"ꝏ "</f>
        <v xml:space="preserve">2034 - ꝏ </v>
      </c>
      <c r="C25" s="48">
        <f>C24*(1+D10)/D12</f>
        <v>177873.80726923974</v>
      </c>
      <c r="D25" s="50">
        <f>D24</f>
        <v>0.45227231594288309</v>
      </c>
      <c r="E25" s="48">
        <f t="shared" si="2"/>
        <v>80447.398759237083</v>
      </c>
    </row>
    <row r="27" spans="2:13" x14ac:dyDescent="0.3">
      <c r="J27" s="42" t="s">
        <v>181</v>
      </c>
      <c r="K27" s="42" t="s">
        <v>189</v>
      </c>
      <c r="L27" s="42" t="s">
        <v>190</v>
      </c>
      <c r="M27" s="42" t="s">
        <v>191</v>
      </c>
    </row>
    <row r="28" spans="2:13" x14ac:dyDescent="0.3">
      <c r="J28" s="42" t="s">
        <v>125</v>
      </c>
      <c r="K28" s="42" t="s">
        <v>131</v>
      </c>
      <c r="L28" s="42" t="s">
        <v>125</v>
      </c>
      <c r="M28" s="42" t="s">
        <v>118</v>
      </c>
    </row>
    <row r="29" spans="2:13" x14ac:dyDescent="0.3">
      <c r="J29" s="42" t="s">
        <v>118</v>
      </c>
      <c r="K29" s="42" t="s">
        <v>119</v>
      </c>
      <c r="L29" s="42" t="s">
        <v>118</v>
      </c>
      <c r="M29" s="42" t="s">
        <v>119</v>
      </c>
    </row>
    <row r="30" spans="2:13" x14ac:dyDescent="0.3">
      <c r="J30" s="42" t="s">
        <v>131</v>
      </c>
      <c r="K30" s="42" t="s">
        <v>120</v>
      </c>
      <c r="L30" s="42" t="s">
        <v>119</v>
      </c>
      <c r="M30" s="42" t="s">
        <v>120</v>
      </c>
    </row>
    <row r="31" spans="2:13" x14ac:dyDescent="0.3">
      <c r="J31" s="42" t="s">
        <v>119</v>
      </c>
      <c r="K31" s="42" t="s">
        <v>171</v>
      </c>
      <c r="L31" s="42" t="s">
        <v>120</v>
      </c>
      <c r="M31" s="42" t="s">
        <v>121</v>
      </c>
    </row>
    <row r="32" spans="2:13" x14ac:dyDescent="0.3">
      <c r="J32" s="42" t="s">
        <v>120</v>
      </c>
      <c r="K32" s="42"/>
      <c r="L32" s="42" t="s">
        <v>121</v>
      </c>
      <c r="M32" s="42"/>
    </row>
    <row r="33" spans="10:13" x14ac:dyDescent="0.3">
      <c r="J33" s="42" t="s">
        <v>171</v>
      </c>
      <c r="K33" s="42"/>
      <c r="L33" s="42"/>
      <c r="M33" s="42"/>
    </row>
  </sheetData>
  <mergeCells count="3">
    <mergeCell ref="B5:D5"/>
    <mergeCell ref="E6:E7"/>
    <mergeCell ref="E8:E13"/>
  </mergeCells>
  <conditionalFormatting sqref="E5">
    <cfRule type="containsText" dxfId="3" priority="2" operator="containsText" text="undervalued">
      <formula>NOT(ISERROR(SEARCH("undervalued",E5)))</formula>
    </cfRule>
  </conditionalFormatting>
  <conditionalFormatting sqref="E6:E7">
    <cfRule type="containsText" dxfId="2" priority="1" operator="containsText" text="Fairly valued">
      <formula>NOT(ISERROR(SEARCH("Fairly valued",E6)))</formula>
    </cfRule>
    <cfRule type="containsText" priority="3" operator="containsText" text="Fairly Valued">
      <formula>NOT(ISERROR(SEARCH("Fairly Valued",E6)))</formula>
    </cfRule>
    <cfRule type="containsText" dxfId="1" priority="4" operator="containsText" text="Overvalued">
      <formula>NOT(ISERROR(SEARCH("Overvalued",E6)))</formula>
    </cfRule>
    <cfRule type="containsText" dxfId="0" priority="5" operator="containsText" text="Undervalued">
      <formula>NOT(ISERROR(SEARCH("Undervalued",E6)))</formula>
    </cfRule>
  </conditionalFormatting>
  <dataValidations count="4">
    <dataValidation type="list" allowBlank="1" showInputMessage="1" showErrorMessage="1" sqref="C9" xr:uid="{ACAA9DEE-B21B-4BBC-8223-3ED866FD4943}">
      <formula1>$J$28:$J$33</formula1>
    </dataValidation>
    <dataValidation type="list" allowBlank="1" showInputMessage="1" showErrorMessage="1" sqref="C10" xr:uid="{DB8DFFC8-60FA-4518-8D5E-99316D182A03}">
      <formula1>$K$28:$K$31</formula1>
    </dataValidation>
    <dataValidation type="list" allowBlank="1" showInputMessage="1" showErrorMessage="1" sqref="C11" xr:uid="{A322A5BB-6245-47C8-8088-AC43E995E921}">
      <formula1>$L$28:$L$32</formula1>
    </dataValidation>
    <dataValidation type="list" allowBlank="1" showInputMessage="1" showErrorMessage="1" sqref="C12" xr:uid="{D4CFC05B-B649-4EAD-B01D-4892726EBED8}">
      <formula1>$M$28:$M$31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EFF1-5C39-4EF5-AE41-992EB5BE8E0F}">
  <sheetPr>
    <tabColor theme="3" tint="9.9978637043366805E-2"/>
  </sheetPr>
  <dimension ref="A1"/>
  <sheetViews>
    <sheetView showGridLines="0" workbookViewId="0">
      <selection activeCell="D25" sqref="D25"/>
    </sheetView>
  </sheetViews>
  <sheetFormatPr defaultRowHeight="14.4" x14ac:dyDescent="0.3"/>
  <cols>
    <col min="1" max="1" width="1.8867187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9F75-C252-4322-946F-6023916C104F}">
  <dimension ref="B2:L30"/>
  <sheetViews>
    <sheetView showGridLines="0" topLeftCell="D10" zoomScale="121" workbookViewId="0">
      <selection activeCell="G30" sqref="G30"/>
    </sheetView>
  </sheetViews>
  <sheetFormatPr defaultRowHeight="14.4" x14ac:dyDescent="0.3"/>
  <cols>
    <col min="1" max="1" width="1.88671875" customWidth="1"/>
    <col min="3" max="3" width="20" bestFit="1" customWidth="1"/>
    <col min="4" max="4" width="12.88671875" bestFit="1" customWidth="1"/>
    <col min="5" max="5" width="15.88671875" bestFit="1" customWidth="1"/>
    <col min="6" max="6" width="12.88671875" bestFit="1" customWidth="1"/>
    <col min="7" max="7" width="12.77734375" bestFit="1" customWidth="1"/>
    <col min="8" max="8" width="16.5546875" bestFit="1" customWidth="1"/>
    <col min="10" max="10" width="26.88671875" bestFit="1" customWidth="1"/>
  </cols>
  <sheetData>
    <row r="2" spans="2:12" x14ac:dyDescent="0.3">
      <c r="B2" s="4" t="s">
        <v>1</v>
      </c>
      <c r="C2" s="4" t="s">
        <v>128</v>
      </c>
      <c r="D2" s="5" t="s">
        <v>7</v>
      </c>
      <c r="E2" s="5" t="s">
        <v>172</v>
      </c>
      <c r="F2" s="5" t="s">
        <v>173</v>
      </c>
      <c r="G2" s="5" t="s">
        <v>174</v>
      </c>
      <c r="H2" s="5" t="s">
        <v>175</v>
      </c>
    </row>
    <row r="3" spans="2:12" x14ac:dyDescent="0.3">
      <c r="B3" s="1">
        <v>1998</v>
      </c>
      <c r="C3" s="23">
        <v>3300.7691666666665</v>
      </c>
      <c r="D3" s="10">
        <v>1.8200000000000001E-2</v>
      </c>
      <c r="E3" s="25">
        <f>D3*C3</f>
        <v>60.073998833333334</v>
      </c>
      <c r="F3" s="25">
        <f>E3*'2025-BBData'!$J$8</f>
        <v>0.87447106550173126</v>
      </c>
      <c r="G3" s="25">
        <f>E3+F3</f>
        <v>60.948469898835064</v>
      </c>
      <c r="H3" s="10">
        <f>G3/C3</f>
        <v>1.8464929481992475E-2</v>
      </c>
    </row>
    <row r="4" spans="2:12" x14ac:dyDescent="0.3">
      <c r="B4" s="1">
        <v>1999</v>
      </c>
      <c r="C4" s="23">
        <v>4180.2249999999995</v>
      </c>
      <c r="D4" s="10">
        <v>1.23E-2</v>
      </c>
      <c r="E4" s="25">
        <f t="shared" ref="E4:E29" si="0">D4*C4</f>
        <v>51.416767499999992</v>
      </c>
      <c r="F4" s="25">
        <f>E4*'2025-BBData'!$J$8</f>
        <v>0.74845151535727961</v>
      </c>
      <c r="G4" s="25">
        <f t="shared" ref="G4:G29" si="1">E4+F4</f>
        <v>52.165219015357273</v>
      </c>
      <c r="H4" s="10">
        <f t="shared" ref="H4:H29" si="2">G4/C4</f>
        <v>1.2479045748819089E-2</v>
      </c>
      <c r="J4" s="5" t="s">
        <v>176</v>
      </c>
      <c r="K4" s="7" t="s">
        <v>125</v>
      </c>
      <c r="L4" s="12">
        <f>AVERAGE(H10:H29)</f>
        <v>1.2905159506095836E-2</v>
      </c>
    </row>
    <row r="5" spans="2:12" x14ac:dyDescent="0.3">
      <c r="B5" s="1">
        <v>2000</v>
      </c>
      <c r="C5" s="23">
        <v>4501.8466666666654</v>
      </c>
      <c r="D5" s="10">
        <v>1.2500000000000001E-2</v>
      </c>
      <c r="E5" s="25">
        <f t="shared" si="0"/>
        <v>56.273083333333318</v>
      </c>
      <c r="F5" s="25">
        <f>E5*'2025-BBData'!$J$8</f>
        <v>0.81914279217688668</v>
      </c>
      <c r="G5" s="25">
        <f t="shared" si="1"/>
        <v>57.092226125510201</v>
      </c>
      <c r="H5" s="10">
        <f t="shared" si="2"/>
        <v>1.2681957061808018E-2</v>
      </c>
      <c r="L5" s="26"/>
    </row>
    <row r="6" spans="2:12" x14ac:dyDescent="0.3">
      <c r="B6" s="1">
        <v>2001</v>
      </c>
      <c r="C6" s="23">
        <v>3475.9216666666666</v>
      </c>
      <c r="D6" s="10">
        <v>1.95E-2</v>
      </c>
      <c r="E6" s="25">
        <f t="shared" si="0"/>
        <v>67.780472500000002</v>
      </c>
      <c r="F6" s="25">
        <f>E6*'2025-BBData'!$J$8</f>
        <v>0.98665084992473373</v>
      </c>
      <c r="G6" s="25">
        <f t="shared" si="1"/>
        <v>68.767123349924731</v>
      </c>
      <c r="H6" s="10">
        <f t="shared" si="2"/>
        <v>1.9783853016420508E-2</v>
      </c>
      <c r="J6" s="5" t="s">
        <v>176</v>
      </c>
      <c r="K6" s="7" t="s">
        <v>118</v>
      </c>
      <c r="L6" s="12">
        <f>AVERAGE(H15:H29)</f>
        <v>1.2749594166137662E-2</v>
      </c>
    </row>
    <row r="7" spans="2:12" x14ac:dyDescent="0.3">
      <c r="B7" s="1">
        <v>2002</v>
      </c>
      <c r="C7" s="23">
        <v>3230.5783333333334</v>
      </c>
      <c r="D7" s="10">
        <v>2.2099999999999998E-2</v>
      </c>
      <c r="E7" s="25">
        <f t="shared" si="0"/>
        <v>71.395781166666666</v>
      </c>
      <c r="F7" s="25">
        <f>E7*'2025-BBData'!$J$8</f>
        <v>1.0392773253259922</v>
      </c>
      <c r="G7" s="25">
        <f t="shared" si="1"/>
        <v>72.435058491992663</v>
      </c>
      <c r="H7" s="10">
        <f t="shared" si="2"/>
        <v>2.2421700085276577E-2</v>
      </c>
    </row>
    <row r="8" spans="2:12" x14ac:dyDescent="0.3">
      <c r="B8" s="1">
        <v>2003</v>
      </c>
      <c r="C8" s="23">
        <v>3967.6383333333338</v>
      </c>
      <c r="D8" s="10">
        <v>2.0299999999999999E-2</v>
      </c>
      <c r="E8" s="25">
        <f t="shared" si="0"/>
        <v>80.543058166666668</v>
      </c>
      <c r="F8" s="25">
        <f>E8*'2025-BBData'!$J$8</f>
        <v>1.1724302570431171</v>
      </c>
      <c r="G8" s="25">
        <f t="shared" si="1"/>
        <v>81.715488423709786</v>
      </c>
      <c r="H8" s="10">
        <f t="shared" si="2"/>
        <v>2.0595498268376221E-2</v>
      </c>
      <c r="J8" s="5" t="s">
        <v>176</v>
      </c>
      <c r="K8" s="7" t="s">
        <v>131</v>
      </c>
      <c r="L8" s="12">
        <f>AVERAGE(H20:H29)</f>
        <v>1.2073223122841235E-2</v>
      </c>
    </row>
    <row r="9" spans="2:12" x14ac:dyDescent="0.3">
      <c r="B9" s="1">
        <v>2004</v>
      </c>
      <c r="C9" s="23">
        <v>5551.600833333333</v>
      </c>
      <c r="D9" s="10">
        <v>0.02</v>
      </c>
      <c r="E9" s="25">
        <f t="shared" si="0"/>
        <v>111.03201666666666</v>
      </c>
      <c r="F9" s="25">
        <f>E9*'2025-BBData'!$J$8</f>
        <v>1.616244761542845</v>
      </c>
      <c r="G9" s="25">
        <f t="shared" si="1"/>
        <v>112.64826142820951</v>
      </c>
      <c r="H9" s="10">
        <f t="shared" si="2"/>
        <v>2.0291131298892831E-2</v>
      </c>
      <c r="L9" s="26"/>
    </row>
    <row r="10" spans="2:12" x14ac:dyDescent="0.3">
      <c r="B10" s="1">
        <v>2005</v>
      </c>
      <c r="C10" s="23">
        <v>7498.3674999999976</v>
      </c>
      <c r="D10" s="10">
        <v>1.4800000000000001E-2</v>
      </c>
      <c r="E10" s="25">
        <f t="shared" si="0"/>
        <v>110.97583899999997</v>
      </c>
      <c r="F10" s="25">
        <f>E10*'2025-BBData'!$J$8</f>
        <v>1.6154270076895727</v>
      </c>
      <c r="G10" s="25">
        <f t="shared" si="1"/>
        <v>112.59126600768954</v>
      </c>
      <c r="H10" s="10">
        <f t="shared" si="2"/>
        <v>1.5015437161180693E-2</v>
      </c>
      <c r="J10" s="5" t="s">
        <v>176</v>
      </c>
      <c r="K10" s="7" t="s">
        <v>119</v>
      </c>
      <c r="L10" s="12">
        <f>AVERAGE(H23:H29)</f>
        <v>1.1392020857806976E-2</v>
      </c>
    </row>
    <row r="11" spans="2:12" x14ac:dyDescent="0.3">
      <c r="B11" s="1">
        <v>2006</v>
      </c>
      <c r="C11" s="23">
        <v>11663.581666666665</v>
      </c>
      <c r="D11" s="10">
        <v>1.3100000000000001E-2</v>
      </c>
      <c r="E11" s="25">
        <f t="shared" si="0"/>
        <v>152.79291983333331</v>
      </c>
      <c r="F11" s="25">
        <f>E11*'2025-BBData'!$J$8</f>
        <v>2.2241400606353108</v>
      </c>
      <c r="G11" s="25">
        <f t="shared" si="1"/>
        <v>155.01705989396862</v>
      </c>
      <c r="H11" s="10">
        <f t="shared" si="2"/>
        <v>1.3290691000774802E-2</v>
      </c>
      <c r="L11" s="26"/>
    </row>
    <row r="12" spans="2:12" x14ac:dyDescent="0.3">
      <c r="B12" s="1">
        <v>2007</v>
      </c>
      <c r="C12" s="23">
        <v>15901.442499999999</v>
      </c>
      <c r="D12" s="10">
        <v>1.04E-2</v>
      </c>
      <c r="E12" s="25">
        <f t="shared" si="0"/>
        <v>165.37500199999999</v>
      </c>
      <c r="F12" s="25">
        <f>E12*'2025-BBData'!$J$8</f>
        <v>2.4072919568332094</v>
      </c>
      <c r="G12" s="25">
        <f t="shared" si="1"/>
        <v>167.7822939568332</v>
      </c>
      <c r="H12" s="10">
        <f t="shared" si="2"/>
        <v>1.055138827542427E-2</v>
      </c>
      <c r="J12" s="5" t="s">
        <v>176</v>
      </c>
      <c r="K12" s="7" t="s">
        <v>120</v>
      </c>
      <c r="L12" s="12">
        <f>AVERAGE(H25:H29)</f>
        <v>1.1139831083092163E-2</v>
      </c>
    </row>
    <row r="13" spans="2:12" x14ac:dyDescent="0.3">
      <c r="B13" s="1">
        <v>2008</v>
      </c>
      <c r="C13" s="23">
        <v>14028.762499999999</v>
      </c>
      <c r="D13" s="10">
        <v>1.52E-2</v>
      </c>
      <c r="E13" s="25">
        <f t="shared" si="0"/>
        <v>213.23718999999997</v>
      </c>
      <c r="F13" s="25">
        <f>E13*'2025-BBData'!$J$8</f>
        <v>3.1040010048478472</v>
      </c>
      <c r="G13" s="25">
        <f t="shared" si="1"/>
        <v>216.34119100484781</v>
      </c>
      <c r="H13" s="10">
        <f t="shared" si="2"/>
        <v>1.5421259787158548E-2</v>
      </c>
      <c r="L13" s="26"/>
    </row>
    <row r="14" spans="2:12" x14ac:dyDescent="0.3">
      <c r="B14" s="1">
        <v>2009</v>
      </c>
      <c r="C14" s="23">
        <v>13941.4825</v>
      </c>
      <c r="D14" s="10">
        <v>1.24E-2</v>
      </c>
      <c r="E14" s="25">
        <f t="shared" si="0"/>
        <v>172.87438299999999</v>
      </c>
      <c r="F14" s="25">
        <f>E14*'2025-BBData'!$J$8</f>
        <v>2.5164571834043192</v>
      </c>
      <c r="G14" s="25">
        <f t="shared" si="1"/>
        <v>175.39084018340432</v>
      </c>
      <c r="H14" s="10">
        <f t="shared" si="2"/>
        <v>1.2580501405313554E-2</v>
      </c>
      <c r="J14" s="5" t="s">
        <v>176</v>
      </c>
      <c r="K14" s="7" t="s">
        <v>171</v>
      </c>
      <c r="L14" s="12">
        <f>AVERAGE(H27:H29)</f>
        <v>1.2073223122841233E-2</v>
      </c>
    </row>
    <row r="15" spans="2:12" x14ac:dyDescent="0.3">
      <c r="B15" s="1">
        <v>2010</v>
      </c>
      <c r="C15" s="23">
        <v>18207.560833333333</v>
      </c>
      <c r="D15" s="10">
        <v>1.11E-2</v>
      </c>
      <c r="E15" s="25">
        <f t="shared" si="0"/>
        <v>202.10392525</v>
      </c>
      <c r="F15" s="25">
        <f>E15*'2025-BBData'!$J$8</f>
        <v>2.9419389134685856</v>
      </c>
      <c r="G15" s="25">
        <f t="shared" si="1"/>
        <v>205.04586416346859</v>
      </c>
      <c r="H15" s="10">
        <f t="shared" si="2"/>
        <v>1.126157787088552E-2</v>
      </c>
    </row>
    <row r="16" spans="2:12" x14ac:dyDescent="0.3">
      <c r="B16" s="1">
        <v>2011</v>
      </c>
      <c r="C16" s="23">
        <v>17724.382500000003</v>
      </c>
      <c r="D16" s="10">
        <v>1.41E-2</v>
      </c>
      <c r="E16" s="25">
        <f t="shared" si="0"/>
        <v>249.91379325000005</v>
      </c>
      <c r="F16" s="25">
        <f>E16*'2025-BBData'!$J$8</f>
        <v>3.6378863620053212</v>
      </c>
      <c r="G16" s="25">
        <f t="shared" si="1"/>
        <v>253.55167961200539</v>
      </c>
      <c r="H16" s="10">
        <f t="shared" si="2"/>
        <v>1.4305247565719445E-2</v>
      </c>
    </row>
    <row r="17" spans="2:8" x14ac:dyDescent="0.3">
      <c r="B17" s="1">
        <v>2012</v>
      </c>
      <c r="C17" s="23">
        <v>17834.851666666666</v>
      </c>
      <c r="D17" s="10">
        <v>1.6399999999999998E-2</v>
      </c>
      <c r="E17" s="25">
        <f t="shared" si="0"/>
        <v>292.49156733333325</v>
      </c>
      <c r="F17" s="25">
        <f>E17*'2025-BBData'!$J$8</f>
        <v>4.2576724956476326</v>
      </c>
      <c r="G17" s="25">
        <f t="shared" si="1"/>
        <v>296.74923982898088</v>
      </c>
      <c r="H17" s="10">
        <f t="shared" si="2"/>
        <v>1.6638727665092116E-2</v>
      </c>
    </row>
    <row r="18" spans="2:8" x14ac:dyDescent="0.3">
      <c r="B18" s="1">
        <v>2013</v>
      </c>
      <c r="C18" s="23">
        <v>19727.074999999997</v>
      </c>
      <c r="D18" s="10">
        <v>1.4999999999999999E-2</v>
      </c>
      <c r="E18" s="25">
        <f t="shared" si="0"/>
        <v>295.90612499999992</v>
      </c>
      <c r="F18" s="25">
        <f>E18*'2025-BBData'!$J$8</f>
        <v>4.3073767260796894</v>
      </c>
      <c r="G18" s="25">
        <f t="shared" si="1"/>
        <v>300.21350172607958</v>
      </c>
      <c r="H18" s="10">
        <f t="shared" si="2"/>
        <v>1.5218348474169618E-2</v>
      </c>
    </row>
    <row r="19" spans="2:8" x14ac:dyDescent="0.3">
      <c r="B19" s="1">
        <v>2014</v>
      </c>
      <c r="C19" s="23">
        <v>24940.999166666665</v>
      </c>
      <c r="D19" s="10">
        <v>1.29E-2</v>
      </c>
      <c r="E19" s="25">
        <f t="shared" si="0"/>
        <v>321.73888925</v>
      </c>
      <c r="F19" s="25">
        <f>E19*'2025-BBData'!$J$8</f>
        <v>4.6834130365844269</v>
      </c>
      <c r="G19" s="25">
        <f t="shared" si="1"/>
        <v>326.42230228658445</v>
      </c>
      <c r="H19" s="10">
        <f t="shared" si="2"/>
        <v>1.3087779687785878E-2</v>
      </c>
    </row>
    <row r="20" spans="2:8" x14ac:dyDescent="0.3">
      <c r="B20" s="1">
        <v>2015</v>
      </c>
      <c r="C20" s="23">
        <v>27382.92</v>
      </c>
      <c r="D20" s="10">
        <v>1.3899999999999999E-2</v>
      </c>
      <c r="E20" s="25">
        <f t="shared" si="0"/>
        <v>380.62258799999995</v>
      </c>
      <c r="F20" s="25">
        <f>E20*'2025-BBData'!$J$8</f>
        <v>5.5405574216195035</v>
      </c>
      <c r="G20" s="25">
        <f t="shared" si="1"/>
        <v>386.16314542161945</v>
      </c>
      <c r="H20" s="10">
        <f t="shared" si="2"/>
        <v>1.4102336252730515E-2</v>
      </c>
    </row>
    <row r="21" spans="2:8" x14ac:dyDescent="0.3">
      <c r="B21" s="1">
        <v>2016</v>
      </c>
      <c r="C21" s="23">
        <v>26505.693333333333</v>
      </c>
      <c r="D21" s="10">
        <v>1.43E-2</v>
      </c>
      <c r="E21" s="25">
        <f t="shared" si="0"/>
        <v>379.03141466666665</v>
      </c>
      <c r="F21" s="25">
        <f>E21*'2025-BBData'!$J$8</f>
        <v>5.517395403654656</v>
      </c>
      <c r="G21" s="25">
        <f t="shared" si="1"/>
        <v>384.54881007032128</v>
      </c>
      <c r="H21" s="10">
        <f t="shared" si="2"/>
        <v>1.4508158878708372E-2</v>
      </c>
    </row>
    <row r="22" spans="2:8" x14ac:dyDescent="0.3">
      <c r="B22" s="1">
        <v>2017</v>
      </c>
      <c r="C22" s="23">
        <v>31162.837499999998</v>
      </c>
      <c r="D22" s="10">
        <v>1.2199999999999999E-2</v>
      </c>
      <c r="E22" s="25">
        <f t="shared" si="0"/>
        <v>380.18661749999995</v>
      </c>
      <c r="F22" s="25">
        <f>E22*'2025-BBData'!$J$8</f>
        <v>5.5342111887223062</v>
      </c>
      <c r="G22" s="25">
        <f t="shared" si="1"/>
        <v>385.72082868872224</v>
      </c>
      <c r="H22" s="10">
        <f t="shared" si="2"/>
        <v>1.2377590092324624E-2</v>
      </c>
    </row>
    <row r="23" spans="2:8" x14ac:dyDescent="0.3">
      <c r="B23" s="1">
        <v>2018</v>
      </c>
      <c r="C23" s="23">
        <v>35683.952499999999</v>
      </c>
      <c r="D23" s="10">
        <v>1.1899999999999999E-2</v>
      </c>
      <c r="E23" s="25">
        <f t="shared" si="0"/>
        <v>424.63903474999995</v>
      </c>
      <c r="F23" s="25">
        <f>E23*'2025-BBData'!$J$8</f>
        <v>6.1812856873682307</v>
      </c>
      <c r="G23" s="25">
        <f t="shared" si="1"/>
        <v>430.8203204373682</v>
      </c>
      <c r="H23" s="10">
        <f t="shared" si="2"/>
        <v>1.2073223122841233E-2</v>
      </c>
    </row>
    <row r="24" spans="2:8" x14ac:dyDescent="0.3">
      <c r="B24" s="1">
        <v>2019</v>
      </c>
      <c r="C24" s="23">
        <v>38716.272499999999</v>
      </c>
      <c r="D24" s="10">
        <v>1.18E-2</v>
      </c>
      <c r="E24" s="25">
        <f t="shared" si="0"/>
        <v>456.85201549999999</v>
      </c>
      <c r="F24" s="25">
        <f>E24*'2025-BBData'!$J$8</f>
        <v>6.6501960337160915</v>
      </c>
      <c r="G24" s="25">
        <f t="shared" si="1"/>
        <v>463.50221153371609</v>
      </c>
      <c r="H24" s="10">
        <f t="shared" si="2"/>
        <v>1.197176746634677E-2</v>
      </c>
    </row>
    <row r="25" spans="2:8" x14ac:dyDescent="0.3">
      <c r="B25" s="1">
        <v>2020</v>
      </c>
      <c r="C25" s="23">
        <v>37947.085000000006</v>
      </c>
      <c r="D25" s="10">
        <v>9.7999999999999997E-3</v>
      </c>
      <c r="E25" s="25">
        <f t="shared" si="0"/>
        <v>371.88143300000007</v>
      </c>
      <c r="F25" s="25">
        <f>E25*'2025-BBData'!$J$8</f>
        <v>5.4133162311708283</v>
      </c>
      <c r="G25" s="25">
        <f t="shared" si="1"/>
        <v>377.2947492311709</v>
      </c>
      <c r="H25" s="10">
        <f t="shared" si="2"/>
        <v>9.9426543364574856E-3</v>
      </c>
    </row>
    <row r="26" spans="2:8" x14ac:dyDescent="0.3">
      <c r="B26" s="1">
        <v>2021</v>
      </c>
      <c r="C26" s="23">
        <v>53499.052499999998</v>
      </c>
      <c r="D26" s="10">
        <v>9.3999999999999986E-3</v>
      </c>
      <c r="E26" s="25">
        <f t="shared" si="0"/>
        <v>502.8910934999999</v>
      </c>
      <c r="F26" s="25">
        <f>E26*'2025-BBData'!$J$8</f>
        <v>7.3203668626145033</v>
      </c>
      <c r="G26" s="25">
        <f t="shared" si="1"/>
        <v>510.21146036261439</v>
      </c>
      <c r="H26" s="10">
        <f t="shared" si="2"/>
        <v>9.5368317104796273E-3</v>
      </c>
    </row>
    <row r="27" spans="2:8" x14ac:dyDescent="0.3">
      <c r="B27" s="1">
        <v>2022</v>
      </c>
      <c r="C27" s="23">
        <v>58141.450000000004</v>
      </c>
      <c r="D27" s="10">
        <v>1.2E-2</v>
      </c>
      <c r="E27" s="25">
        <f t="shared" si="0"/>
        <v>697.69740000000002</v>
      </c>
      <c r="F27" s="25">
        <f>E27*'2025-BBData'!$J$8</f>
        <v>10.156077514807482</v>
      </c>
      <c r="G27" s="25">
        <f t="shared" si="1"/>
        <v>707.85347751480754</v>
      </c>
      <c r="H27" s="10">
        <f t="shared" si="2"/>
        <v>1.2174678779335698E-2</v>
      </c>
    </row>
    <row r="28" spans="2:8" x14ac:dyDescent="0.3">
      <c r="B28" s="1">
        <v>2023</v>
      </c>
      <c r="C28" s="23">
        <v>63853.991666666676</v>
      </c>
      <c r="D28" s="10">
        <v>1.21E-2</v>
      </c>
      <c r="E28" s="25">
        <f t="shared" si="0"/>
        <v>772.6332991666668</v>
      </c>
      <c r="F28" s="25">
        <f>E28*'2025-BBData'!$J$8</f>
        <v>11.24688679771217</v>
      </c>
      <c r="G28" s="25">
        <f t="shared" si="1"/>
        <v>783.88018596437894</v>
      </c>
      <c r="H28" s="10">
        <f t="shared" si="2"/>
        <v>1.2276134435830161E-2</v>
      </c>
    </row>
    <row r="29" spans="2:8" x14ac:dyDescent="0.3">
      <c r="B29" s="1">
        <v>2024</v>
      </c>
      <c r="C29" s="23">
        <v>77593.194166666668</v>
      </c>
      <c r="D29" s="10">
        <v>1.1599999999999999E-2</v>
      </c>
      <c r="E29" s="25">
        <f t="shared" si="0"/>
        <v>900.08105233333333</v>
      </c>
      <c r="F29" s="25">
        <f>E29*'2025-BBData'!$J$8</f>
        <v>13.102088293731384</v>
      </c>
      <c r="G29" s="25">
        <f t="shared" si="1"/>
        <v>913.18314062706474</v>
      </c>
      <c r="H29" s="10">
        <f t="shared" si="2"/>
        <v>1.1768856153357841E-2</v>
      </c>
    </row>
    <row r="30" spans="2:8" x14ac:dyDescent="0.3">
      <c r="D30" s="1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A519-702F-4A69-B964-68EE43B2A74A}">
  <dimension ref="B2:T30"/>
  <sheetViews>
    <sheetView showGridLines="0" topLeftCell="C19" zoomScale="106" workbookViewId="0">
      <selection activeCell="M39" sqref="M39"/>
    </sheetView>
  </sheetViews>
  <sheetFormatPr defaultRowHeight="14.4" x14ac:dyDescent="0.3"/>
  <cols>
    <col min="1" max="1" width="1.88671875" customWidth="1"/>
    <col min="2" max="2" width="9.6640625" bestFit="1" customWidth="1"/>
    <col min="3" max="3" width="20" bestFit="1" customWidth="1"/>
    <col min="5" max="5" width="10.33203125" bestFit="1" customWidth="1"/>
    <col min="6" max="8" width="15.6640625" bestFit="1" customWidth="1"/>
    <col min="9" max="9" width="16.6640625" bestFit="1" customWidth="1"/>
    <col min="10" max="10" width="8.77734375" bestFit="1" customWidth="1"/>
    <col min="11" max="11" width="17.88671875" bestFit="1" customWidth="1"/>
    <col min="18" max="18" width="12.88671875" bestFit="1" customWidth="1"/>
    <col min="20" max="20" width="12.88671875" bestFit="1" customWidth="1"/>
  </cols>
  <sheetData>
    <row r="2" spans="2:20" x14ac:dyDescent="0.3">
      <c r="B2" s="7" t="s">
        <v>1</v>
      </c>
      <c r="C2" s="5" t="s">
        <v>128</v>
      </c>
      <c r="D2" s="5" t="s">
        <v>5</v>
      </c>
      <c r="E2" s="5" t="s">
        <v>164</v>
      </c>
      <c r="F2" s="5" t="s">
        <v>165</v>
      </c>
      <c r="G2" s="5" t="s">
        <v>166</v>
      </c>
      <c r="H2" s="5" t="s">
        <v>167</v>
      </c>
      <c r="I2" s="5" t="s">
        <v>168</v>
      </c>
      <c r="P2" s="7" t="s">
        <v>1</v>
      </c>
      <c r="Q2" s="5" t="s">
        <v>4</v>
      </c>
      <c r="R2" s="5" t="s">
        <v>5</v>
      </c>
      <c r="S2" s="5" t="s">
        <v>6</v>
      </c>
      <c r="T2" s="5" t="s">
        <v>7</v>
      </c>
    </row>
    <row r="3" spans="2:20" x14ac:dyDescent="0.3">
      <c r="B3" s="1">
        <v>1998</v>
      </c>
      <c r="C3" s="23">
        <f>IFERROR(SensexHistorical!G3,0)</f>
        <v>3300.7691666666665</v>
      </c>
      <c r="D3">
        <f t="shared" ref="D3:D29" si="0">IFERROR(R3,0)</f>
        <v>12.86</v>
      </c>
      <c r="E3" s="25">
        <f>C3/D3</f>
        <v>256.66945308449976</v>
      </c>
      <c r="F3" s="3" t="s">
        <v>169</v>
      </c>
      <c r="G3" s="3" t="s">
        <v>169</v>
      </c>
      <c r="H3" s="3" t="s">
        <v>169</v>
      </c>
      <c r="I3" s="3" t="s">
        <v>169</v>
      </c>
      <c r="P3" t="s">
        <v>163</v>
      </c>
      <c r="Q3">
        <v>3739.96</v>
      </c>
      <c r="R3">
        <v>12.86</v>
      </c>
      <c r="S3">
        <v>2.2599999999999998</v>
      </c>
      <c r="T3">
        <v>1.82</v>
      </c>
    </row>
    <row r="4" spans="2:20" x14ac:dyDescent="0.3">
      <c r="B4" s="1">
        <f>B3+1</f>
        <v>1999</v>
      </c>
      <c r="C4" s="23">
        <f>IFERROR(SensexHistorical!G4,0)</f>
        <v>4180.2249999999995</v>
      </c>
      <c r="D4">
        <f t="shared" si="0"/>
        <v>19.760000000000002</v>
      </c>
      <c r="E4" s="25">
        <f t="shared" ref="E4:E29" si="1">C4/D4</f>
        <v>211.54984817813761</v>
      </c>
      <c r="F4" s="3" t="s">
        <v>169</v>
      </c>
      <c r="G4" s="3" t="s">
        <v>169</v>
      </c>
      <c r="H4" s="3" t="s">
        <v>169</v>
      </c>
      <c r="I4" s="3" t="s">
        <v>169</v>
      </c>
      <c r="K4" s="5" t="s">
        <v>170</v>
      </c>
      <c r="L4" s="7" t="s">
        <v>131</v>
      </c>
      <c r="M4" s="12">
        <f>AVERAGE(I13:I29)</f>
        <v>0.10924129167475632</v>
      </c>
      <c r="P4" t="s">
        <v>162</v>
      </c>
      <c r="Q4">
        <v>5001.28</v>
      </c>
      <c r="R4">
        <v>19.760000000000002</v>
      </c>
      <c r="S4">
        <v>3.4</v>
      </c>
      <c r="T4">
        <v>1.23</v>
      </c>
    </row>
    <row r="5" spans="2:20" x14ac:dyDescent="0.3">
      <c r="B5" s="1">
        <f t="shared" ref="B5:B22" si="2">B4+1</f>
        <v>2000</v>
      </c>
      <c r="C5" s="23">
        <f>IFERROR(SensexHistorical!G5,0)</f>
        <v>4501.8466666666654</v>
      </c>
      <c r="D5">
        <f t="shared" si="0"/>
        <v>23.89</v>
      </c>
      <c r="E5" s="25">
        <f t="shared" si="1"/>
        <v>188.44063066834096</v>
      </c>
      <c r="F5" s="3" t="s">
        <v>169</v>
      </c>
      <c r="G5" s="3" t="s">
        <v>169</v>
      </c>
      <c r="H5" s="3" t="s">
        <v>169</v>
      </c>
      <c r="I5" s="3" t="s">
        <v>169</v>
      </c>
      <c r="M5" s="26"/>
      <c r="P5" t="s">
        <v>161</v>
      </c>
      <c r="Q5">
        <v>3604.38</v>
      </c>
      <c r="R5">
        <v>23.89</v>
      </c>
      <c r="S5">
        <v>3.6</v>
      </c>
      <c r="T5">
        <v>1.25</v>
      </c>
    </row>
    <row r="6" spans="2:20" x14ac:dyDescent="0.3">
      <c r="B6" s="1">
        <f t="shared" si="2"/>
        <v>2001</v>
      </c>
      <c r="C6" s="23">
        <f>IFERROR(SensexHistorical!G6,0)</f>
        <v>3475.9216666666666</v>
      </c>
      <c r="D6">
        <f t="shared" si="0"/>
        <v>16.55</v>
      </c>
      <c r="E6" s="25">
        <f t="shared" si="1"/>
        <v>210.02547834843907</v>
      </c>
      <c r="F6" s="10">
        <f>_xlfn.RRI(3,E3,E6)</f>
        <v>-6.466769943112638E-2</v>
      </c>
      <c r="G6" s="3" t="s">
        <v>169</v>
      </c>
      <c r="H6" s="3" t="s">
        <v>169</v>
      </c>
      <c r="I6" s="3" t="s">
        <v>169</v>
      </c>
      <c r="K6" s="5" t="s">
        <v>170</v>
      </c>
      <c r="L6" s="7" t="s">
        <v>119</v>
      </c>
      <c r="M6" s="12">
        <f>AVERAGE(H10:H29)</f>
        <v>0.11403739316907417</v>
      </c>
      <c r="P6" t="s">
        <v>160</v>
      </c>
      <c r="Q6">
        <v>3469.35</v>
      </c>
      <c r="R6">
        <v>16.55</v>
      </c>
      <c r="S6">
        <v>2.38</v>
      </c>
      <c r="T6">
        <v>1.95</v>
      </c>
    </row>
    <row r="7" spans="2:20" x14ac:dyDescent="0.3">
      <c r="B7" s="1">
        <f t="shared" si="2"/>
        <v>2002</v>
      </c>
      <c r="C7" s="23">
        <f>IFERROR(SensexHistorical!G7,0)</f>
        <v>3230.5783333333334</v>
      </c>
      <c r="D7">
        <f t="shared" si="0"/>
        <v>14.51</v>
      </c>
      <c r="E7" s="25">
        <f t="shared" si="1"/>
        <v>222.64495750057432</v>
      </c>
      <c r="F7" s="10">
        <f t="shared" ref="F7:F29" si="3">_xlfn.RRI(3,E4,E7)</f>
        <v>1.7185237368739781E-2</v>
      </c>
      <c r="G7" s="3" t="s">
        <v>169</v>
      </c>
      <c r="H7" s="3" t="s">
        <v>169</v>
      </c>
      <c r="I7" s="3" t="s">
        <v>169</v>
      </c>
      <c r="M7" s="26"/>
      <c r="P7" t="s">
        <v>159</v>
      </c>
      <c r="Q7">
        <v>3048.72</v>
      </c>
      <c r="R7">
        <v>14.51</v>
      </c>
      <c r="S7">
        <v>2.23</v>
      </c>
      <c r="T7">
        <v>2.21</v>
      </c>
    </row>
    <row r="8" spans="2:20" x14ac:dyDescent="0.3">
      <c r="B8" s="1">
        <f t="shared" si="2"/>
        <v>2003</v>
      </c>
      <c r="C8" s="23">
        <f>IFERROR(SensexHistorical!G8,0)</f>
        <v>3967.6383333333338</v>
      </c>
      <c r="D8">
        <f t="shared" si="0"/>
        <v>16.18</v>
      </c>
      <c r="E8" s="25">
        <f t="shared" si="1"/>
        <v>245.21868562010715</v>
      </c>
      <c r="F8" s="10">
        <f t="shared" si="3"/>
        <v>9.1757884655807143E-2</v>
      </c>
      <c r="G8" s="10">
        <f>_xlfn.RRI(5,E3,E8)</f>
        <v>-9.0862037857036837E-3</v>
      </c>
      <c r="H8" s="3" t="s">
        <v>169</v>
      </c>
      <c r="I8" s="3" t="s">
        <v>169</v>
      </c>
      <c r="K8" s="5" t="s">
        <v>170</v>
      </c>
      <c r="L8" s="7" t="s">
        <v>120</v>
      </c>
      <c r="M8" s="12">
        <f>AVERAGE(G8:G29)</f>
        <v>0.11441845894566584</v>
      </c>
      <c r="P8" t="s">
        <v>158</v>
      </c>
      <c r="Q8">
        <v>5590.6</v>
      </c>
      <c r="R8">
        <v>16.18</v>
      </c>
      <c r="S8">
        <v>2.82</v>
      </c>
      <c r="T8">
        <v>2.0299999999999998</v>
      </c>
    </row>
    <row r="9" spans="2:20" x14ac:dyDescent="0.3">
      <c r="B9" s="1">
        <f t="shared" si="2"/>
        <v>2004</v>
      </c>
      <c r="C9" s="23">
        <f>IFERROR(SensexHistorical!G9,0)</f>
        <v>5551.600833333333</v>
      </c>
      <c r="D9">
        <f t="shared" si="0"/>
        <v>16.559999999999999</v>
      </c>
      <c r="E9" s="25">
        <f t="shared" si="1"/>
        <v>335.24159621578099</v>
      </c>
      <c r="F9" s="10">
        <f t="shared" si="3"/>
        <v>0.16867917626306261</v>
      </c>
      <c r="G9" s="10">
        <f t="shared" ref="G9:G29" si="4">_xlfn.RRI(5,E4,E9)</f>
        <v>9.6450516236254558E-2</v>
      </c>
      <c r="H9" s="3" t="s">
        <v>169</v>
      </c>
      <c r="I9" s="3" t="s">
        <v>169</v>
      </c>
      <c r="M9" s="26"/>
      <c r="P9" t="s">
        <v>157</v>
      </c>
      <c r="Q9">
        <v>6492.82</v>
      </c>
      <c r="R9">
        <v>16.559999999999999</v>
      </c>
      <c r="S9">
        <v>3.32</v>
      </c>
      <c r="T9">
        <v>2</v>
      </c>
    </row>
    <row r="10" spans="2:20" x14ac:dyDescent="0.3">
      <c r="B10" s="1">
        <f t="shared" si="2"/>
        <v>2005</v>
      </c>
      <c r="C10" s="23">
        <f>IFERROR(SensexHistorical!G10,0)</f>
        <v>7498.3674999999976</v>
      </c>
      <c r="D10">
        <f t="shared" si="0"/>
        <v>16.98</v>
      </c>
      <c r="E10" s="25">
        <f t="shared" si="1"/>
        <v>441.5999705535923</v>
      </c>
      <c r="F10" s="10">
        <f t="shared" si="3"/>
        <v>0.25643123381129151</v>
      </c>
      <c r="G10" s="10">
        <f t="shared" si="4"/>
        <v>0.1856892908676413</v>
      </c>
      <c r="H10" s="10">
        <f>_xlfn.RRI(7,E3,E10)</f>
        <v>8.0600038437381061E-2</v>
      </c>
      <c r="I10" s="3" t="s">
        <v>169</v>
      </c>
      <c r="K10" s="5" t="s">
        <v>170</v>
      </c>
      <c r="L10" s="7" t="s">
        <v>171</v>
      </c>
      <c r="M10" s="12">
        <f>AVERAGE(F6:F29)</f>
        <v>0.11747281425778104</v>
      </c>
      <c r="P10" t="s">
        <v>156</v>
      </c>
      <c r="Q10">
        <v>11279.96</v>
      </c>
      <c r="R10">
        <v>16.98</v>
      </c>
      <c r="S10">
        <v>4.16</v>
      </c>
      <c r="T10">
        <v>1.48</v>
      </c>
    </row>
    <row r="11" spans="2:20" x14ac:dyDescent="0.3">
      <c r="B11" s="1">
        <f t="shared" si="2"/>
        <v>2006</v>
      </c>
      <c r="C11" s="23">
        <f>IFERROR(SensexHistorical!G11,0)</f>
        <v>11663.581666666665</v>
      </c>
      <c r="D11">
        <f t="shared" si="0"/>
        <v>20.72</v>
      </c>
      <c r="E11" s="25">
        <f t="shared" si="1"/>
        <v>562.9141731016731</v>
      </c>
      <c r="F11" s="10">
        <f t="shared" si="3"/>
        <v>0.31915615372920048</v>
      </c>
      <c r="G11" s="10">
        <f t="shared" si="4"/>
        <v>0.21796284562478663</v>
      </c>
      <c r="H11" s="10">
        <f t="shared" ref="H11:H29" si="5">_xlfn.RRI(7,E4,E11)</f>
        <v>0.15005469443738084</v>
      </c>
      <c r="I11" s="3" t="s">
        <v>169</v>
      </c>
      <c r="P11" t="s">
        <v>155</v>
      </c>
      <c r="Q11">
        <v>13072.1</v>
      </c>
      <c r="R11">
        <v>20.72</v>
      </c>
      <c r="S11">
        <v>4.88</v>
      </c>
      <c r="T11">
        <v>1.31</v>
      </c>
    </row>
    <row r="12" spans="2:20" x14ac:dyDescent="0.3">
      <c r="B12" s="1">
        <f t="shared" si="2"/>
        <v>2007</v>
      </c>
      <c r="C12" s="23">
        <f>IFERROR(SensexHistorical!G12,0)</f>
        <v>15901.442499999999</v>
      </c>
      <c r="D12">
        <f t="shared" si="0"/>
        <v>22.61</v>
      </c>
      <c r="E12" s="25">
        <f t="shared" si="1"/>
        <v>703.29245908889868</v>
      </c>
      <c r="F12" s="10">
        <f t="shared" si="3"/>
        <v>0.28014555820533205</v>
      </c>
      <c r="G12" s="10">
        <f t="shared" si="4"/>
        <v>0.25864895461683535</v>
      </c>
      <c r="H12" s="10">
        <f t="shared" si="5"/>
        <v>0.20700417720211273</v>
      </c>
      <c r="I12" s="3" t="s">
        <v>169</v>
      </c>
      <c r="P12" t="s">
        <v>154</v>
      </c>
      <c r="Q12">
        <v>15644.44</v>
      </c>
      <c r="R12">
        <v>22.61</v>
      </c>
      <c r="S12">
        <v>5.47</v>
      </c>
      <c r="T12">
        <v>1.04</v>
      </c>
    </row>
    <row r="13" spans="2:20" x14ac:dyDescent="0.3">
      <c r="B13" s="1">
        <f t="shared" si="2"/>
        <v>2008</v>
      </c>
      <c r="C13" s="23">
        <f>IFERROR(SensexHistorical!G13,0)</f>
        <v>14028.762499999999</v>
      </c>
      <c r="D13">
        <f t="shared" si="0"/>
        <v>15.66</v>
      </c>
      <c r="E13" s="25">
        <f t="shared" si="1"/>
        <v>895.83413154533832</v>
      </c>
      <c r="F13" s="10">
        <f t="shared" si="3"/>
        <v>0.26590035931780043</v>
      </c>
      <c r="G13" s="10">
        <f t="shared" si="4"/>
        <v>0.29579055179663083</v>
      </c>
      <c r="H13" s="10">
        <f t="shared" si="5"/>
        <v>0.23025081207427256</v>
      </c>
      <c r="I13" s="10">
        <f>_xlfn.RRI(10,E3,E13)</f>
        <v>0.1331446221817485</v>
      </c>
      <c r="P13" t="s">
        <v>153</v>
      </c>
      <c r="Q13">
        <v>9708.5</v>
      </c>
      <c r="R13">
        <v>15.66</v>
      </c>
      <c r="S13">
        <v>3.38</v>
      </c>
      <c r="T13">
        <v>1.52</v>
      </c>
    </row>
    <row r="14" spans="2:20" x14ac:dyDescent="0.3">
      <c r="B14" s="1">
        <f t="shared" si="2"/>
        <v>2009</v>
      </c>
      <c r="C14" s="23">
        <f>IFERROR(SensexHistorical!G14,0)</f>
        <v>13941.4825</v>
      </c>
      <c r="D14">
        <f t="shared" si="0"/>
        <v>20.13</v>
      </c>
      <c r="E14" s="25">
        <f t="shared" si="1"/>
        <v>692.57240437158475</v>
      </c>
      <c r="F14" s="10">
        <f t="shared" si="3"/>
        <v>7.1538220721417467E-2</v>
      </c>
      <c r="G14" s="10">
        <f t="shared" si="4"/>
        <v>0.15616936218873967</v>
      </c>
      <c r="H14" s="10">
        <f t="shared" si="5"/>
        <v>0.17600041285160661</v>
      </c>
      <c r="I14" s="10">
        <f t="shared" ref="I14:I29" si="6">_xlfn.RRI(10,E4,E14)</f>
        <v>0.12591407044604641</v>
      </c>
      <c r="P14" t="s">
        <v>152</v>
      </c>
      <c r="Q14">
        <v>17527.77</v>
      </c>
      <c r="R14">
        <v>20.13</v>
      </c>
      <c r="S14">
        <v>3.75</v>
      </c>
      <c r="T14">
        <v>1.24</v>
      </c>
    </row>
    <row r="15" spans="2:20" x14ac:dyDescent="0.3">
      <c r="B15" s="1">
        <f t="shared" si="2"/>
        <v>2010</v>
      </c>
      <c r="C15" s="23">
        <f>IFERROR(SensexHistorical!G15,0)</f>
        <v>18207.560833333333</v>
      </c>
      <c r="D15">
        <f t="shared" si="0"/>
        <v>21.6</v>
      </c>
      <c r="E15" s="25">
        <f t="shared" si="1"/>
        <v>842.94263117283947</v>
      </c>
      <c r="F15" s="10">
        <f t="shared" si="3"/>
        <v>6.2235192833299591E-2</v>
      </c>
      <c r="G15" s="10">
        <f t="shared" si="4"/>
        <v>0.13803022470450488</v>
      </c>
      <c r="H15" s="10">
        <f t="shared" si="5"/>
        <v>0.19290635213834739</v>
      </c>
      <c r="I15" s="10">
        <f t="shared" si="6"/>
        <v>0.161615362379401</v>
      </c>
      <c r="P15" t="s">
        <v>151</v>
      </c>
      <c r="Q15">
        <v>19445.22</v>
      </c>
      <c r="R15">
        <v>21.6</v>
      </c>
      <c r="S15">
        <v>3.58</v>
      </c>
      <c r="T15">
        <v>1.1100000000000001</v>
      </c>
    </row>
    <row r="16" spans="2:20" x14ac:dyDescent="0.3">
      <c r="B16" s="1">
        <f t="shared" si="2"/>
        <v>2011</v>
      </c>
      <c r="C16" s="23">
        <f>IFERROR(SensexHistorical!G16,0)</f>
        <v>17724.382500000003</v>
      </c>
      <c r="D16">
        <f t="shared" si="0"/>
        <v>18.5</v>
      </c>
      <c r="E16" s="25">
        <f t="shared" si="1"/>
        <v>958.07472972972994</v>
      </c>
      <c r="F16" s="10">
        <f t="shared" si="3"/>
        <v>2.2642709822955576E-2</v>
      </c>
      <c r="G16" s="10">
        <f t="shared" si="4"/>
        <v>0.11222189524708859</v>
      </c>
      <c r="H16" s="10">
        <f t="shared" si="5"/>
        <v>0.16184657919591583</v>
      </c>
      <c r="I16" s="10">
        <f t="shared" si="6"/>
        <v>0.16389215329485629</v>
      </c>
      <c r="P16" t="s">
        <v>150</v>
      </c>
      <c r="Q16">
        <v>17404.2</v>
      </c>
      <c r="R16">
        <v>18.5</v>
      </c>
      <c r="S16">
        <v>3.42</v>
      </c>
      <c r="T16">
        <v>1.41</v>
      </c>
    </row>
    <row r="17" spans="2:20" x14ac:dyDescent="0.3">
      <c r="B17" s="1">
        <f t="shared" si="2"/>
        <v>2012</v>
      </c>
      <c r="C17" s="23">
        <f>IFERROR(SensexHistorical!G17,0)</f>
        <v>17834.851666666666</v>
      </c>
      <c r="D17">
        <f t="shared" si="0"/>
        <v>17.09</v>
      </c>
      <c r="E17" s="25">
        <f t="shared" si="1"/>
        <v>1043.5840647552175</v>
      </c>
      <c r="F17" s="10">
        <f t="shared" si="3"/>
        <v>0.14644727217121156</v>
      </c>
      <c r="G17" s="10">
        <f t="shared" si="4"/>
        <v>8.2127155553680442E-2</v>
      </c>
      <c r="H17" s="10">
        <f t="shared" si="5"/>
        <v>0.13072479259056169</v>
      </c>
      <c r="I17" s="10">
        <f t="shared" si="6"/>
        <v>0.16705535991234344</v>
      </c>
      <c r="P17" t="s">
        <v>149</v>
      </c>
      <c r="Q17">
        <v>18835.77</v>
      </c>
      <c r="R17">
        <v>17.09</v>
      </c>
      <c r="S17">
        <v>2.97</v>
      </c>
      <c r="T17">
        <v>1.64</v>
      </c>
    </row>
    <row r="18" spans="2:20" x14ac:dyDescent="0.3">
      <c r="B18" s="1">
        <f t="shared" si="2"/>
        <v>2013</v>
      </c>
      <c r="C18" s="23">
        <f>IFERROR(SensexHistorical!G18,0)</f>
        <v>19727.074999999997</v>
      </c>
      <c r="D18">
        <f t="shared" si="0"/>
        <v>17.38</v>
      </c>
      <c r="E18" s="25">
        <f t="shared" si="1"/>
        <v>1135.0445914844647</v>
      </c>
      <c r="F18" s="10">
        <f t="shared" si="3"/>
        <v>0.10426074801253815</v>
      </c>
      <c r="G18" s="10">
        <f t="shared" si="4"/>
        <v>4.8472547526111853E-2</v>
      </c>
      <c r="H18" s="10">
        <f t="shared" si="5"/>
        <v>0.10537619041460444</v>
      </c>
      <c r="I18" s="10">
        <f t="shared" si="6"/>
        <v>0.16559033150694935</v>
      </c>
      <c r="P18" t="s">
        <v>148</v>
      </c>
      <c r="Q18">
        <v>22386.27</v>
      </c>
      <c r="R18">
        <v>17.38</v>
      </c>
      <c r="S18">
        <v>2.78</v>
      </c>
      <c r="T18">
        <v>1.5</v>
      </c>
    </row>
    <row r="19" spans="2:20" x14ac:dyDescent="0.3">
      <c r="B19" s="1">
        <f t="shared" si="2"/>
        <v>2014</v>
      </c>
      <c r="C19" s="23">
        <f>IFERROR(SensexHistorical!G19,0)</f>
        <v>24940.999166666665</v>
      </c>
      <c r="D19">
        <f t="shared" si="0"/>
        <v>18.73</v>
      </c>
      <c r="E19" s="25">
        <f t="shared" si="1"/>
        <v>1331.6070030254493</v>
      </c>
      <c r="F19" s="10">
        <f t="shared" si="3"/>
        <v>0.11598638190936783</v>
      </c>
      <c r="G19" s="10">
        <f t="shared" si="4"/>
        <v>0.13967803312103255</v>
      </c>
      <c r="H19" s="10">
        <f t="shared" si="5"/>
        <v>9.548322072207216E-2</v>
      </c>
      <c r="I19" s="10">
        <f t="shared" si="6"/>
        <v>0.14789408250677094</v>
      </c>
      <c r="P19" t="s">
        <v>147</v>
      </c>
      <c r="Q19">
        <v>27957.49</v>
      </c>
      <c r="R19">
        <v>18.73</v>
      </c>
      <c r="S19">
        <v>2.94</v>
      </c>
      <c r="T19">
        <v>1.29</v>
      </c>
    </row>
    <row r="20" spans="2:20" x14ac:dyDescent="0.3">
      <c r="B20" s="1">
        <f t="shared" si="2"/>
        <v>2015</v>
      </c>
      <c r="C20" s="23">
        <f>IFERROR(SensexHistorical!G20,0)</f>
        <v>27382.92</v>
      </c>
      <c r="D20">
        <f t="shared" si="0"/>
        <v>20.18</v>
      </c>
      <c r="E20" s="25">
        <f t="shared" si="1"/>
        <v>1356.9335976214072</v>
      </c>
      <c r="F20" s="10">
        <f t="shared" si="3"/>
        <v>9.1466437161547676E-2</v>
      </c>
      <c r="G20" s="10">
        <f t="shared" si="4"/>
        <v>9.9897248054357402E-2</v>
      </c>
      <c r="H20" s="10">
        <f t="shared" si="5"/>
        <v>6.1112840803760449E-2</v>
      </c>
      <c r="I20" s="10">
        <f t="shared" si="6"/>
        <v>0.11880128367604548</v>
      </c>
      <c r="P20" t="s">
        <v>146</v>
      </c>
      <c r="Q20">
        <v>25341.86</v>
      </c>
      <c r="R20">
        <v>20.18</v>
      </c>
      <c r="S20">
        <v>2.85</v>
      </c>
      <c r="T20">
        <v>1.39</v>
      </c>
    </row>
    <row r="21" spans="2:20" x14ac:dyDescent="0.3">
      <c r="B21" s="1">
        <f t="shared" si="2"/>
        <v>2016</v>
      </c>
      <c r="C21" s="23">
        <f>IFERROR(SensexHistorical!G21,0)</f>
        <v>26505.693333333333</v>
      </c>
      <c r="D21">
        <f t="shared" si="0"/>
        <v>20.62</v>
      </c>
      <c r="E21" s="25">
        <f t="shared" si="1"/>
        <v>1285.4361461364369</v>
      </c>
      <c r="F21" s="10">
        <f t="shared" si="3"/>
        <v>4.234749764836554E-2</v>
      </c>
      <c r="G21" s="10">
        <f t="shared" si="4"/>
        <v>6.0547744160045713E-2</v>
      </c>
      <c r="H21" s="10">
        <f t="shared" si="5"/>
        <v>9.2368912472192699E-2</v>
      </c>
      <c r="I21" s="10">
        <f t="shared" si="6"/>
        <v>8.6077539593610419E-2</v>
      </c>
      <c r="P21" t="s">
        <v>145</v>
      </c>
      <c r="Q21">
        <v>29620.5</v>
      </c>
      <c r="R21">
        <v>20.62</v>
      </c>
      <c r="S21">
        <v>2.84</v>
      </c>
      <c r="T21">
        <v>1.43</v>
      </c>
    </row>
    <row r="22" spans="2:20" x14ac:dyDescent="0.3">
      <c r="B22" s="1">
        <f t="shared" si="2"/>
        <v>2017</v>
      </c>
      <c r="C22" s="23">
        <f>IFERROR(SensexHistorical!G22,0)</f>
        <v>31162.837499999998</v>
      </c>
      <c r="D22">
        <f t="shared" si="0"/>
        <v>23.78</v>
      </c>
      <c r="E22" s="25">
        <f t="shared" si="1"/>
        <v>1310.4641505466777</v>
      </c>
      <c r="F22" s="10">
        <f t="shared" si="3"/>
        <v>-5.3208266402144933E-3</v>
      </c>
      <c r="G22" s="10">
        <f t="shared" si="4"/>
        <v>4.6597134079133573E-2</v>
      </c>
      <c r="H22" s="10">
        <f t="shared" si="5"/>
        <v>6.5063014901050931E-2</v>
      </c>
      <c r="I22" s="10">
        <f t="shared" si="6"/>
        <v>6.4213878744158626E-2</v>
      </c>
      <c r="P22" t="s">
        <v>144</v>
      </c>
      <c r="Q22">
        <v>32968.68</v>
      </c>
      <c r="R22">
        <v>23.78</v>
      </c>
      <c r="S22">
        <v>3.05</v>
      </c>
      <c r="T22">
        <v>1.22</v>
      </c>
    </row>
    <row r="23" spans="2:20" x14ac:dyDescent="0.3">
      <c r="B23" s="1">
        <f>B22+1</f>
        <v>2018</v>
      </c>
      <c r="C23" s="23">
        <f>IFERROR(SensexHistorical!G23,0)</f>
        <v>35683.952499999999</v>
      </c>
      <c r="D23">
        <f t="shared" si="0"/>
        <v>23.71</v>
      </c>
      <c r="E23" s="25">
        <f t="shared" si="1"/>
        <v>1505.0169759595108</v>
      </c>
      <c r="F23" s="10">
        <f t="shared" si="3"/>
        <v>3.5128503660178279E-2</v>
      </c>
      <c r="G23" s="10">
        <f t="shared" si="4"/>
        <v>5.8048790340206935E-2</v>
      </c>
      <c r="H23" s="10">
        <f t="shared" si="5"/>
        <v>6.6645947318062948E-2</v>
      </c>
      <c r="I23" s="10">
        <f t="shared" si="6"/>
        <v>5.3249785480594447E-2</v>
      </c>
      <c r="P23" t="s">
        <v>143</v>
      </c>
      <c r="Q23">
        <v>38672.910000000003</v>
      </c>
      <c r="R23">
        <v>23.71</v>
      </c>
      <c r="S23">
        <v>3.03</v>
      </c>
      <c r="T23">
        <v>1.19</v>
      </c>
    </row>
    <row r="24" spans="2:20" x14ac:dyDescent="0.3">
      <c r="B24" s="1">
        <f t="shared" ref="B24:B28" si="7">B23+1</f>
        <v>2019</v>
      </c>
      <c r="C24" s="23">
        <f>IFERROR(SensexHistorical!G24,0)</f>
        <v>38716.272499999999</v>
      </c>
      <c r="D24">
        <f t="shared" si="0"/>
        <v>26.44</v>
      </c>
      <c r="E24" s="25">
        <f t="shared" si="1"/>
        <v>1464.3068267776096</v>
      </c>
      <c r="F24" s="10">
        <f t="shared" si="3"/>
        <v>4.4384761301598852E-2</v>
      </c>
      <c r="G24" s="10">
        <f t="shared" si="4"/>
        <v>1.9180729092057591E-2</v>
      </c>
      <c r="H24" s="10">
        <f t="shared" si="5"/>
        <v>4.9578557729123007E-2</v>
      </c>
      <c r="I24" s="10">
        <f t="shared" si="6"/>
        <v>7.774667186983053E-2</v>
      </c>
      <c r="P24" t="s">
        <v>142</v>
      </c>
      <c r="Q24">
        <v>29468.49</v>
      </c>
      <c r="R24">
        <v>26.44</v>
      </c>
      <c r="S24">
        <v>2.95</v>
      </c>
      <c r="T24">
        <v>1.18</v>
      </c>
    </row>
    <row r="25" spans="2:20" x14ac:dyDescent="0.3">
      <c r="B25" s="1">
        <f t="shared" si="7"/>
        <v>2020</v>
      </c>
      <c r="C25" s="23">
        <f>IFERROR(SensexHistorical!G25,0)</f>
        <v>37947.085000000006</v>
      </c>
      <c r="D25">
        <f t="shared" si="0"/>
        <v>28.1</v>
      </c>
      <c r="E25" s="25">
        <f t="shared" si="1"/>
        <v>1350.4300711743774</v>
      </c>
      <c r="F25" s="10">
        <f t="shared" si="3"/>
        <v>1.0064215331375692E-2</v>
      </c>
      <c r="G25" s="10">
        <f t="shared" si="4"/>
        <v>-9.6040521113405219E-4</v>
      </c>
      <c r="H25" s="10">
        <f t="shared" si="5"/>
        <v>2.5132216982049593E-2</v>
      </c>
      <c r="I25" s="10">
        <f t="shared" si="6"/>
        <v>4.8256123762515424E-2</v>
      </c>
      <c r="P25" t="s">
        <v>141</v>
      </c>
      <c r="Q25">
        <v>49509.15</v>
      </c>
      <c r="R25">
        <v>28.1</v>
      </c>
      <c r="S25">
        <v>2.92</v>
      </c>
      <c r="T25">
        <v>0.98</v>
      </c>
    </row>
    <row r="26" spans="2:20" x14ac:dyDescent="0.3">
      <c r="B26" s="1">
        <f>B25+1</f>
        <v>2021</v>
      </c>
      <c r="C26" s="23">
        <f>IFERROR(SensexHistorical!G26,0)</f>
        <v>53499.052499999998</v>
      </c>
      <c r="D26">
        <f t="shared" si="0"/>
        <v>29.53</v>
      </c>
      <c r="E26" s="25">
        <f t="shared" si="1"/>
        <v>1811.6848120555367</v>
      </c>
      <c r="F26" s="10">
        <f t="shared" si="3"/>
        <v>6.3768391385229162E-2</v>
      </c>
      <c r="G26" s="10">
        <f t="shared" si="4"/>
        <v>7.1041816144692183E-2</v>
      </c>
      <c r="H26" s="10">
        <f t="shared" si="5"/>
        <v>4.4963061989961695E-2</v>
      </c>
      <c r="I26" s="10">
        <f t="shared" si="6"/>
        <v>6.5781864179219163E-2</v>
      </c>
      <c r="P26" t="s">
        <v>140</v>
      </c>
      <c r="Q26">
        <v>58568.51</v>
      </c>
      <c r="R26">
        <v>29.53</v>
      </c>
      <c r="S26">
        <v>3.51</v>
      </c>
      <c r="T26">
        <v>0.94</v>
      </c>
    </row>
    <row r="27" spans="2:20" x14ac:dyDescent="0.3">
      <c r="B27" s="1">
        <f t="shared" si="7"/>
        <v>2022</v>
      </c>
      <c r="C27" s="23">
        <f>IFERROR(SensexHistorical!G27,0)</f>
        <v>58141.450000000004</v>
      </c>
      <c r="D27">
        <f t="shared" si="0"/>
        <v>22.91</v>
      </c>
      <c r="E27" s="25">
        <f t="shared" si="1"/>
        <v>2537.8197293758185</v>
      </c>
      <c r="F27" s="10">
        <f t="shared" si="3"/>
        <v>0.20118406100713115</v>
      </c>
      <c r="G27" s="10">
        <f t="shared" si="4"/>
        <v>0.14131920422648636</v>
      </c>
      <c r="H27" s="10">
        <f t="shared" si="5"/>
        <v>9.356138827863858E-2</v>
      </c>
      <c r="I27" s="10">
        <f t="shared" si="6"/>
        <v>9.293248108605412E-2</v>
      </c>
      <c r="P27" t="s">
        <v>139</v>
      </c>
      <c r="Q27">
        <v>58991.519999999997</v>
      </c>
      <c r="R27">
        <v>22.91</v>
      </c>
      <c r="S27">
        <v>3.32</v>
      </c>
      <c r="T27">
        <v>1.2</v>
      </c>
    </row>
    <row r="28" spans="2:20" x14ac:dyDescent="0.3">
      <c r="B28" s="1">
        <f t="shared" si="7"/>
        <v>2023</v>
      </c>
      <c r="C28" s="23">
        <f>IFERROR(SensexHistorical!G28,0)</f>
        <v>63853.991666666676</v>
      </c>
      <c r="D28">
        <f t="shared" si="0"/>
        <v>24.1</v>
      </c>
      <c r="E28" s="25">
        <f t="shared" si="1"/>
        <v>2649.5432226832645</v>
      </c>
      <c r="F28" s="10">
        <f t="shared" si="3"/>
        <v>0.25189038191214408</v>
      </c>
      <c r="G28" s="10">
        <f t="shared" si="4"/>
        <v>0.11976250722301218</v>
      </c>
      <c r="H28" s="10">
        <f t="shared" si="5"/>
        <v>0.10885397390748786</v>
      </c>
      <c r="I28" s="10">
        <f t="shared" si="6"/>
        <v>8.8468357939552211E-2</v>
      </c>
      <c r="P28" t="s">
        <v>138</v>
      </c>
      <c r="Q28">
        <v>73651.350000000006</v>
      </c>
      <c r="R28">
        <v>24.1</v>
      </c>
      <c r="S28">
        <v>3.51</v>
      </c>
      <c r="T28">
        <v>1.21</v>
      </c>
    </row>
    <row r="29" spans="2:20" x14ac:dyDescent="0.3">
      <c r="B29" s="1">
        <f>B28+1</f>
        <v>2024</v>
      </c>
      <c r="C29" s="23">
        <f>IFERROR(SensexHistorical!G29,0)</f>
        <v>77593.194166666668</v>
      </c>
      <c r="D29">
        <f t="shared" si="0"/>
        <v>23.2</v>
      </c>
      <c r="E29" s="25">
        <f t="shared" si="1"/>
        <v>3344.5342313218393</v>
      </c>
      <c r="F29" s="10">
        <f t="shared" si="3"/>
        <v>0.22673569002849159</v>
      </c>
      <c r="G29" s="10">
        <f t="shared" si="4"/>
        <v>0.17961615499818717</v>
      </c>
      <c r="H29" s="10">
        <f t="shared" si="5"/>
        <v>0.14322067893490065</v>
      </c>
      <c r="I29" s="10">
        <f t="shared" si="6"/>
        <v>9.6467989911161123E-2</v>
      </c>
      <c r="P29" t="s">
        <v>137</v>
      </c>
      <c r="Q29">
        <v>77414.92</v>
      </c>
      <c r="R29">
        <v>23.2</v>
      </c>
      <c r="S29">
        <v>3.95</v>
      </c>
      <c r="T29">
        <v>1.1599999999999999</v>
      </c>
    </row>
    <row r="30" spans="2:20" x14ac:dyDescent="0.3">
      <c r="P30" t="s">
        <v>136</v>
      </c>
      <c r="Q30">
        <v>79809.649999999994</v>
      </c>
      <c r="R30">
        <v>22.78</v>
      </c>
      <c r="S30">
        <v>4.2300000000000004</v>
      </c>
      <c r="T30">
        <v>1.1299999999999999</v>
      </c>
    </row>
  </sheetData>
  <pageMargins left="0.7" right="0.7" top="0.75" bottom="0.75" header="0.3" footer="0.3"/>
  <ignoredErrors>
    <ignoredError sqref="P3:P30" numberStoredAsText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337F-CB21-464C-AEDE-C8A62FA5EF0C}">
  <dimension ref="B2:L336"/>
  <sheetViews>
    <sheetView showGridLines="0" topLeftCell="A5" workbookViewId="0">
      <selection activeCell="N11" sqref="N11"/>
    </sheetView>
  </sheetViews>
  <sheetFormatPr defaultRowHeight="14.4" x14ac:dyDescent="0.3"/>
  <cols>
    <col min="1" max="1" width="1.88671875" customWidth="1"/>
    <col min="2" max="2" width="9.88671875" bestFit="1" customWidth="1"/>
    <col min="3" max="3" width="11.5546875" bestFit="1" customWidth="1"/>
    <col min="4" max="4" width="15.21875" bestFit="1" customWidth="1"/>
    <col min="7" max="7" width="21.33203125" bestFit="1" customWidth="1"/>
    <col min="8" max="8" width="15.21875" bestFit="1" customWidth="1"/>
    <col min="10" max="10" width="19.6640625" bestFit="1" customWidth="1"/>
  </cols>
  <sheetData>
    <row r="2" spans="2:12" x14ac:dyDescent="0.3">
      <c r="B2" s="7" t="s">
        <v>8</v>
      </c>
      <c r="C2" s="5" t="s">
        <v>126</v>
      </c>
      <c r="D2" s="5" t="s">
        <v>127</v>
      </c>
      <c r="F2" s="7" t="s">
        <v>1</v>
      </c>
      <c r="G2" s="5" t="s">
        <v>128</v>
      </c>
      <c r="H2" s="5" t="s">
        <v>129</v>
      </c>
    </row>
    <row r="3" spans="2:12" x14ac:dyDescent="0.3">
      <c r="B3" s="22">
        <v>35796</v>
      </c>
      <c r="C3">
        <v>3224.36</v>
      </c>
      <c r="D3" s="3" t="s">
        <v>169</v>
      </c>
      <c r="F3" s="1">
        <v>1998</v>
      </c>
      <c r="G3" s="23">
        <f>AVERAGEIFS($C$3:$C$332,$B$3:$B$332,"&gt;="&amp;DATE(F3,1,1),$B$3:$B$332,"&lt;="&amp;DATE(F3,12,31))</f>
        <v>3300.7691666666665</v>
      </c>
      <c r="H3" s="3" t="s">
        <v>169</v>
      </c>
    </row>
    <row r="4" spans="2:12" x14ac:dyDescent="0.3">
      <c r="B4" s="22">
        <v>35827</v>
      </c>
      <c r="C4">
        <v>3622.22</v>
      </c>
      <c r="D4" s="10">
        <f>C4/C3-1</f>
        <v>0.12339192894093709</v>
      </c>
      <c r="F4" s="1">
        <f>F3+1</f>
        <v>1999</v>
      </c>
      <c r="G4" s="23">
        <f t="shared" ref="G4:G29" si="0">AVERAGEIFS($C$3:$C$332,$B$3:$B$332,"&gt;="&amp;DATE(F4,1,1),$B$3:$B$332,"&lt;="&amp;DATE(F4,12,31))</f>
        <v>4180.2249999999995</v>
      </c>
      <c r="H4" s="10">
        <f>G4/G3-1</f>
        <v>0.26643966570418054</v>
      </c>
      <c r="J4" s="5" t="s">
        <v>130</v>
      </c>
      <c r="K4" s="7" t="s">
        <v>125</v>
      </c>
      <c r="L4" s="12">
        <f>_xlfn.RRI(20,G10,G29)</f>
        <v>0.12393926965541868</v>
      </c>
    </row>
    <row r="5" spans="2:12" x14ac:dyDescent="0.3">
      <c r="B5" s="22">
        <v>35855</v>
      </c>
      <c r="C5">
        <v>3892.75</v>
      </c>
      <c r="D5" s="10">
        <f t="shared" ref="D5:D68" si="1">C5/C4-1</f>
        <v>7.468624213879882E-2</v>
      </c>
      <c r="F5" s="1">
        <f t="shared" ref="F5:F22" si="2">F4+1</f>
        <v>2000</v>
      </c>
      <c r="G5" s="23">
        <f t="shared" si="0"/>
        <v>4501.8466666666654</v>
      </c>
      <c r="H5" s="10">
        <f t="shared" ref="H5:H29" si="3">G5/G4-1</f>
        <v>7.6938841011348957E-2</v>
      </c>
      <c r="L5" s="26"/>
    </row>
    <row r="6" spans="2:12" x14ac:dyDescent="0.3">
      <c r="B6" s="22">
        <v>35886</v>
      </c>
      <c r="C6">
        <v>4006.81</v>
      </c>
      <c r="D6" s="10">
        <f t="shared" si="1"/>
        <v>2.9300622952925348E-2</v>
      </c>
      <c r="F6" s="1">
        <f t="shared" si="2"/>
        <v>2001</v>
      </c>
      <c r="G6" s="23">
        <f t="shared" si="0"/>
        <v>3475.9216666666666</v>
      </c>
      <c r="H6" s="10">
        <f t="shared" si="3"/>
        <v>-0.2278898141059148</v>
      </c>
      <c r="J6" s="5" t="s">
        <v>130</v>
      </c>
      <c r="K6" s="7" t="s">
        <v>118</v>
      </c>
      <c r="L6" s="12">
        <f>_xlfn.RRI(15,G16,G29)</f>
        <v>0.1034436703062358</v>
      </c>
    </row>
    <row r="7" spans="2:12" x14ac:dyDescent="0.3">
      <c r="B7" s="22">
        <v>35916</v>
      </c>
      <c r="C7">
        <v>3686.39</v>
      </c>
      <c r="D7" s="10">
        <f t="shared" si="1"/>
        <v>-7.9968853027720277E-2</v>
      </c>
      <c r="F7" s="1">
        <f t="shared" si="2"/>
        <v>2002</v>
      </c>
      <c r="G7" s="23">
        <f t="shared" si="0"/>
        <v>3230.5783333333334</v>
      </c>
      <c r="H7" s="10">
        <f t="shared" si="3"/>
        <v>-7.0583677326828909E-2</v>
      </c>
      <c r="K7" s="1"/>
      <c r="L7" s="26"/>
    </row>
    <row r="8" spans="2:12" x14ac:dyDescent="0.3">
      <c r="B8" s="22">
        <v>35947</v>
      </c>
      <c r="C8">
        <v>3250.69</v>
      </c>
      <c r="D8" s="10">
        <f t="shared" si="1"/>
        <v>-0.11819150985110094</v>
      </c>
      <c r="F8" s="1">
        <f t="shared" si="2"/>
        <v>2003</v>
      </c>
      <c r="G8" s="23">
        <f t="shared" si="0"/>
        <v>3967.6383333333338</v>
      </c>
      <c r="H8" s="10">
        <f t="shared" si="3"/>
        <v>0.22815109988046522</v>
      </c>
      <c r="J8" s="5" t="s">
        <v>130</v>
      </c>
      <c r="K8" s="7" t="s">
        <v>131</v>
      </c>
      <c r="L8" s="12">
        <f>_xlfn.RRI(10,G20,G29)</f>
        <v>0.10977359471476067</v>
      </c>
    </row>
    <row r="9" spans="2:12" x14ac:dyDescent="0.3">
      <c r="B9" s="22">
        <v>35977</v>
      </c>
      <c r="C9">
        <v>3211.31</v>
      </c>
      <c r="D9" s="10">
        <f t="shared" si="1"/>
        <v>-1.2114351106995769E-2</v>
      </c>
      <c r="F9" s="1">
        <f t="shared" si="2"/>
        <v>2004</v>
      </c>
      <c r="G9" s="23">
        <f t="shared" si="0"/>
        <v>5551.600833333333</v>
      </c>
      <c r="H9" s="10">
        <f t="shared" si="3"/>
        <v>0.39922048506605279</v>
      </c>
      <c r="K9" s="1"/>
      <c r="L9" s="26"/>
    </row>
    <row r="10" spans="2:12" x14ac:dyDescent="0.3">
      <c r="B10" s="22">
        <v>36008</v>
      </c>
      <c r="C10">
        <v>2933.85</v>
      </c>
      <c r="D10" s="10">
        <f t="shared" si="1"/>
        <v>-8.6400876900704082E-2</v>
      </c>
      <c r="F10" s="1">
        <f t="shared" si="2"/>
        <v>2005</v>
      </c>
      <c r="G10" s="23">
        <f t="shared" si="0"/>
        <v>7498.3674999999976</v>
      </c>
      <c r="H10" s="10">
        <f t="shared" si="3"/>
        <v>0.35066762274725227</v>
      </c>
      <c r="J10" s="5" t="s">
        <v>130</v>
      </c>
      <c r="K10" s="7" t="s">
        <v>119</v>
      </c>
      <c r="L10" s="12">
        <f>_xlfn.RRI(7,G23,G29)</f>
        <v>0.1173595724144465</v>
      </c>
    </row>
    <row r="11" spans="2:12" x14ac:dyDescent="0.3">
      <c r="B11" s="22">
        <v>36039</v>
      </c>
      <c r="C11">
        <v>3102.29</v>
      </c>
      <c r="D11" s="10">
        <f t="shared" si="1"/>
        <v>5.7412614823525443E-2</v>
      </c>
      <c r="F11" s="1">
        <f t="shared" si="2"/>
        <v>2006</v>
      </c>
      <c r="G11" s="23">
        <f t="shared" si="0"/>
        <v>11663.581666666665</v>
      </c>
      <c r="H11" s="10">
        <f t="shared" si="3"/>
        <v>0.55548279897813346</v>
      </c>
      <c r="K11" s="1"/>
      <c r="L11" s="26"/>
    </row>
    <row r="12" spans="2:12" x14ac:dyDescent="0.3">
      <c r="B12" s="22">
        <v>36069</v>
      </c>
      <c r="C12">
        <v>2812.49</v>
      </c>
      <c r="D12" s="10">
        <f t="shared" si="1"/>
        <v>-9.3414864503318595E-2</v>
      </c>
      <c r="F12" s="1">
        <f t="shared" si="2"/>
        <v>2007</v>
      </c>
      <c r="G12" s="23">
        <f t="shared" si="0"/>
        <v>15901.442499999999</v>
      </c>
      <c r="H12" s="10">
        <f t="shared" si="3"/>
        <v>0.3633412921045267</v>
      </c>
      <c r="J12" s="5" t="s">
        <v>130</v>
      </c>
      <c r="K12" s="7" t="s">
        <v>120</v>
      </c>
      <c r="L12" s="12">
        <f>_xlfn.RRI(5,G25,G29)</f>
        <v>0.15379603458188695</v>
      </c>
    </row>
    <row r="13" spans="2:12" x14ac:dyDescent="0.3">
      <c r="B13" s="22">
        <v>36100</v>
      </c>
      <c r="C13">
        <v>2810.66</v>
      </c>
      <c r="D13" s="10">
        <f t="shared" si="1"/>
        <v>-6.5066898015631036E-4</v>
      </c>
      <c r="F13" s="1">
        <f t="shared" si="2"/>
        <v>2008</v>
      </c>
      <c r="G13" s="23">
        <f t="shared" si="0"/>
        <v>14028.762499999999</v>
      </c>
      <c r="H13" s="10">
        <f t="shared" si="3"/>
        <v>-0.11776793206025182</v>
      </c>
    </row>
    <row r="14" spans="2:12" x14ac:dyDescent="0.3">
      <c r="B14" s="22">
        <v>36130</v>
      </c>
      <c r="C14">
        <v>3055.41</v>
      </c>
      <c r="D14" s="10">
        <f t="shared" si="1"/>
        <v>8.7079191364305863E-2</v>
      </c>
      <c r="F14" s="1">
        <f t="shared" si="2"/>
        <v>2009</v>
      </c>
      <c r="G14" s="23">
        <f t="shared" si="0"/>
        <v>13941.4825</v>
      </c>
      <c r="H14" s="10">
        <f t="shared" si="3"/>
        <v>-6.2215038568084191E-3</v>
      </c>
    </row>
    <row r="15" spans="2:12" x14ac:dyDescent="0.3">
      <c r="B15" s="22">
        <v>36161</v>
      </c>
      <c r="C15">
        <v>3315.57</v>
      </c>
      <c r="D15" s="10">
        <f t="shared" si="1"/>
        <v>8.5147328836391978E-2</v>
      </c>
      <c r="F15" s="1">
        <f t="shared" si="2"/>
        <v>2010</v>
      </c>
      <c r="G15" s="23">
        <f t="shared" si="0"/>
        <v>18207.560833333333</v>
      </c>
      <c r="H15" s="10">
        <f t="shared" si="3"/>
        <v>0.30599890171890487</v>
      </c>
    </row>
    <row r="16" spans="2:12" x14ac:dyDescent="0.3">
      <c r="B16" s="22">
        <v>36192</v>
      </c>
      <c r="C16">
        <v>3399.63</v>
      </c>
      <c r="D16" s="10">
        <f t="shared" si="1"/>
        <v>2.5353106705634287E-2</v>
      </c>
      <c r="F16" s="1">
        <f t="shared" si="2"/>
        <v>2011</v>
      </c>
      <c r="G16" s="23">
        <f t="shared" si="0"/>
        <v>17724.382500000003</v>
      </c>
      <c r="H16" s="10">
        <f t="shared" si="3"/>
        <v>-2.6537235698740891E-2</v>
      </c>
    </row>
    <row r="17" spans="2:8" x14ac:dyDescent="0.3">
      <c r="B17" s="22">
        <v>36220</v>
      </c>
      <c r="C17">
        <v>3739.96</v>
      </c>
      <c r="D17" s="10">
        <f t="shared" si="1"/>
        <v>0.10010795292428876</v>
      </c>
      <c r="F17" s="1">
        <f t="shared" si="2"/>
        <v>2012</v>
      </c>
      <c r="G17" s="23">
        <f t="shared" si="0"/>
        <v>17834.851666666666</v>
      </c>
      <c r="H17" s="10">
        <f t="shared" si="3"/>
        <v>6.2326101722676164E-3</v>
      </c>
    </row>
    <row r="18" spans="2:8" x14ac:dyDescent="0.3">
      <c r="B18" s="22">
        <v>36251</v>
      </c>
      <c r="C18">
        <v>3325.69</v>
      </c>
      <c r="D18" s="10">
        <f t="shared" si="1"/>
        <v>-0.11076856436967242</v>
      </c>
      <c r="F18" s="1">
        <f t="shared" si="2"/>
        <v>2013</v>
      </c>
      <c r="G18" s="23">
        <f t="shared" si="0"/>
        <v>19727.074999999997</v>
      </c>
      <c r="H18" s="10">
        <f t="shared" si="3"/>
        <v>0.10609694819441073</v>
      </c>
    </row>
    <row r="19" spans="2:8" x14ac:dyDescent="0.3">
      <c r="B19" s="22">
        <v>36281</v>
      </c>
      <c r="C19">
        <v>3963.56</v>
      </c>
      <c r="D19" s="10">
        <f t="shared" si="1"/>
        <v>0.19180079923264048</v>
      </c>
      <c r="F19" s="1">
        <f t="shared" si="2"/>
        <v>2014</v>
      </c>
      <c r="G19" s="23">
        <f t="shared" si="0"/>
        <v>24940.999166666665</v>
      </c>
      <c r="H19" s="10">
        <f t="shared" si="3"/>
        <v>0.26430295249887115</v>
      </c>
    </row>
    <row r="20" spans="2:8" x14ac:dyDescent="0.3">
      <c r="B20" s="22">
        <v>36312</v>
      </c>
      <c r="C20">
        <v>4140.7299999999996</v>
      </c>
      <c r="D20" s="10">
        <f t="shared" si="1"/>
        <v>4.4699714398167112E-2</v>
      </c>
      <c r="F20" s="1">
        <f t="shared" si="2"/>
        <v>2015</v>
      </c>
      <c r="G20" s="23">
        <f t="shared" si="0"/>
        <v>27382.92</v>
      </c>
      <c r="H20" s="10">
        <f t="shared" si="3"/>
        <v>9.7907899239134455E-2</v>
      </c>
    </row>
    <row r="21" spans="2:8" x14ac:dyDescent="0.3">
      <c r="B21" s="22">
        <v>36342</v>
      </c>
      <c r="C21">
        <v>4542.34</v>
      </c>
      <c r="D21" s="10">
        <f t="shared" si="1"/>
        <v>9.6990144249927024E-2</v>
      </c>
      <c r="F21" s="1">
        <f t="shared" si="2"/>
        <v>2016</v>
      </c>
      <c r="G21" s="23">
        <f t="shared" si="0"/>
        <v>26505.693333333333</v>
      </c>
      <c r="H21" s="10">
        <f t="shared" si="3"/>
        <v>-3.2035541376400523E-2</v>
      </c>
    </row>
    <row r="22" spans="2:8" x14ac:dyDescent="0.3">
      <c r="B22" s="22">
        <v>36373</v>
      </c>
      <c r="C22">
        <v>4898.21</v>
      </c>
      <c r="D22" s="10">
        <f t="shared" si="1"/>
        <v>7.8345082050220727E-2</v>
      </c>
      <c r="F22" s="1">
        <f t="shared" si="2"/>
        <v>2017</v>
      </c>
      <c r="G22" s="23">
        <f t="shared" si="0"/>
        <v>31162.837499999998</v>
      </c>
      <c r="H22" s="10">
        <f t="shared" si="3"/>
        <v>0.17570354067327409</v>
      </c>
    </row>
    <row r="23" spans="2:8" x14ac:dyDescent="0.3">
      <c r="B23" s="22">
        <v>36404</v>
      </c>
      <c r="C23">
        <v>4764.42</v>
      </c>
      <c r="D23" s="10">
        <f t="shared" si="1"/>
        <v>-2.7314059625863307E-2</v>
      </c>
      <c r="F23" s="1">
        <f>F22+1</f>
        <v>2018</v>
      </c>
      <c r="G23" s="23">
        <f t="shared" si="0"/>
        <v>35683.952499999999</v>
      </c>
      <c r="H23" s="10">
        <f t="shared" si="3"/>
        <v>0.14508033807897003</v>
      </c>
    </row>
    <row r="24" spans="2:8" x14ac:dyDescent="0.3">
      <c r="B24" s="22">
        <v>36434</v>
      </c>
      <c r="C24">
        <v>4444.5600000000004</v>
      </c>
      <c r="D24" s="10">
        <f t="shared" si="1"/>
        <v>-6.7135139219464235E-2</v>
      </c>
      <c r="F24" s="1">
        <f t="shared" ref="F24:F28" si="4">F23+1</f>
        <v>2019</v>
      </c>
      <c r="G24" s="23">
        <f t="shared" si="0"/>
        <v>38716.272499999999</v>
      </c>
      <c r="H24" s="10">
        <f t="shared" si="3"/>
        <v>8.4977133628905133E-2</v>
      </c>
    </row>
    <row r="25" spans="2:8" x14ac:dyDescent="0.3">
      <c r="B25" s="22">
        <v>36465</v>
      </c>
      <c r="C25">
        <v>4622.21</v>
      </c>
      <c r="D25" s="10">
        <f t="shared" si="1"/>
        <v>3.9970210774519677E-2</v>
      </c>
      <c r="F25" s="1">
        <f t="shared" si="4"/>
        <v>2020</v>
      </c>
      <c r="G25" s="23">
        <f t="shared" si="0"/>
        <v>37947.085000000006</v>
      </c>
      <c r="H25" s="10">
        <f t="shared" si="3"/>
        <v>-1.9867292234808875E-2</v>
      </c>
    </row>
    <row r="26" spans="2:8" x14ac:dyDescent="0.3">
      <c r="B26" s="22">
        <v>36495</v>
      </c>
      <c r="C26">
        <v>5005.82</v>
      </c>
      <c r="D26" s="10">
        <f t="shared" si="1"/>
        <v>8.2992767528952571E-2</v>
      </c>
      <c r="F26" s="1">
        <f>F25+1</f>
        <v>2021</v>
      </c>
      <c r="G26" s="23">
        <f t="shared" si="0"/>
        <v>53499.052499999998</v>
      </c>
      <c r="H26" s="10">
        <f t="shared" si="3"/>
        <v>0.40983299507722371</v>
      </c>
    </row>
    <row r="27" spans="2:8" x14ac:dyDescent="0.3">
      <c r="B27" s="22">
        <v>36526</v>
      </c>
      <c r="C27">
        <v>5205.29</v>
      </c>
      <c r="D27" s="10">
        <f t="shared" si="1"/>
        <v>3.9847617373377497E-2</v>
      </c>
      <c r="F27" s="1">
        <f t="shared" si="4"/>
        <v>2022</v>
      </c>
      <c r="G27" s="23">
        <f t="shared" si="0"/>
        <v>58141.450000000004</v>
      </c>
      <c r="H27" s="10">
        <f t="shared" si="3"/>
        <v>8.677532186200887E-2</v>
      </c>
    </row>
    <row r="28" spans="2:8" x14ac:dyDescent="0.3">
      <c r="B28" s="22">
        <v>36557</v>
      </c>
      <c r="C28">
        <v>5446.98</v>
      </c>
      <c r="D28" s="10">
        <f t="shared" si="1"/>
        <v>4.643161091889203E-2</v>
      </c>
      <c r="F28" s="1">
        <f t="shared" si="4"/>
        <v>2023</v>
      </c>
      <c r="G28" s="23">
        <f t="shared" si="0"/>
        <v>63853.991666666676</v>
      </c>
      <c r="H28" s="10">
        <f t="shared" si="3"/>
        <v>9.825248022996802E-2</v>
      </c>
    </row>
    <row r="29" spans="2:8" x14ac:dyDescent="0.3">
      <c r="B29" s="22">
        <v>36586</v>
      </c>
      <c r="C29">
        <v>5001.28</v>
      </c>
      <c r="D29" s="10">
        <f t="shared" si="1"/>
        <v>-8.1825158161035971E-2</v>
      </c>
      <c r="F29" s="1">
        <f>F28+1</f>
        <v>2024</v>
      </c>
      <c r="G29" s="23">
        <f t="shared" si="0"/>
        <v>77593.194166666668</v>
      </c>
      <c r="H29" s="10">
        <f t="shared" si="3"/>
        <v>0.21516591432093968</v>
      </c>
    </row>
    <row r="30" spans="2:8" x14ac:dyDescent="0.3">
      <c r="B30" s="22">
        <v>36617</v>
      </c>
      <c r="C30">
        <v>4657.55</v>
      </c>
      <c r="D30" s="10">
        <f t="shared" si="1"/>
        <v>-6.8728405528184711E-2</v>
      </c>
    </row>
    <row r="31" spans="2:8" x14ac:dyDescent="0.3">
      <c r="B31" s="22">
        <v>36647</v>
      </c>
      <c r="C31">
        <v>4433.6099999999997</v>
      </c>
      <c r="D31" s="10">
        <f t="shared" si="1"/>
        <v>-4.8081072666960156E-2</v>
      </c>
    </row>
    <row r="32" spans="2:8" x14ac:dyDescent="0.3">
      <c r="B32" s="22">
        <v>36678</v>
      </c>
      <c r="C32">
        <v>4748.7700000000004</v>
      </c>
      <c r="D32" s="10">
        <f t="shared" si="1"/>
        <v>7.1084285717508022E-2</v>
      </c>
    </row>
    <row r="33" spans="2:4" x14ac:dyDescent="0.3">
      <c r="B33" s="22">
        <v>36708</v>
      </c>
      <c r="C33">
        <v>4279.8599999999997</v>
      </c>
      <c r="D33" s="10">
        <f t="shared" si="1"/>
        <v>-9.8743464097018951E-2</v>
      </c>
    </row>
    <row r="34" spans="2:4" x14ac:dyDescent="0.3">
      <c r="B34" s="22">
        <v>36739</v>
      </c>
      <c r="C34">
        <v>4477.3100000000004</v>
      </c>
      <c r="D34" s="10">
        <f t="shared" si="1"/>
        <v>4.6134686648628964E-2</v>
      </c>
    </row>
    <row r="35" spans="2:4" x14ac:dyDescent="0.3">
      <c r="B35" s="22">
        <v>36770</v>
      </c>
      <c r="C35">
        <v>4090.38</v>
      </c>
      <c r="D35" s="10">
        <f t="shared" si="1"/>
        <v>-8.6420194268433503E-2</v>
      </c>
    </row>
    <row r="36" spans="2:4" x14ac:dyDescent="0.3">
      <c r="B36" s="22">
        <v>36800</v>
      </c>
      <c r="C36">
        <v>3711.02</v>
      </c>
      <c r="D36" s="10">
        <f t="shared" si="1"/>
        <v>-9.2744439391939215E-2</v>
      </c>
    </row>
    <row r="37" spans="2:4" x14ac:dyDescent="0.3">
      <c r="B37" s="22">
        <v>36831</v>
      </c>
      <c r="C37">
        <v>3997.99</v>
      </c>
      <c r="D37" s="10">
        <f t="shared" si="1"/>
        <v>7.7329144008924766E-2</v>
      </c>
    </row>
    <row r="38" spans="2:4" x14ac:dyDescent="0.3">
      <c r="B38" s="22">
        <v>36861</v>
      </c>
      <c r="C38">
        <v>3972.12</v>
      </c>
      <c r="D38" s="10">
        <f t="shared" si="1"/>
        <v>-6.4707515526551962E-3</v>
      </c>
    </row>
    <row r="39" spans="2:4" x14ac:dyDescent="0.3">
      <c r="B39" s="22">
        <v>36892</v>
      </c>
      <c r="C39">
        <v>4326.72</v>
      </c>
      <c r="D39" s="10">
        <f t="shared" si="1"/>
        <v>8.9272227425153394E-2</v>
      </c>
    </row>
    <row r="40" spans="2:4" x14ac:dyDescent="0.3">
      <c r="B40" s="22">
        <v>36923</v>
      </c>
      <c r="C40">
        <v>4247.04</v>
      </c>
      <c r="D40" s="10">
        <f t="shared" si="1"/>
        <v>-1.8415797648102972E-2</v>
      </c>
    </row>
    <row r="41" spans="2:4" x14ac:dyDescent="0.3">
      <c r="B41" s="22">
        <v>36951</v>
      </c>
      <c r="C41">
        <v>3604.38</v>
      </c>
      <c r="D41" s="10">
        <f t="shared" si="1"/>
        <v>-0.15131950723327303</v>
      </c>
    </row>
    <row r="42" spans="2:4" x14ac:dyDescent="0.3">
      <c r="B42" s="22">
        <v>36982</v>
      </c>
      <c r="C42">
        <v>3519.16</v>
      </c>
      <c r="D42" s="10">
        <f t="shared" si="1"/>
        <v>-2.3643456017401143E-2</v>
      </c>
    </row>
    <row r="43" spans="2:4" x14ac:dyDescent="0.3">
      <c r="B43" s="22">
        <v>37012</v>
      </c>
      <c r="C43">
        <v>3631.91</v>
      </c>
      <c r="D43" s="10">
        <f t="shared" si="1"/>
        <v>3.2038895645551735E-2</v>
      </c>
    </row>
    <row r="44" spans="2:4" x14ac:dyDescent="0.3">
      <c r="B44" s="22">
        <v>37043</v>
      </c>
      <c r="C44">
        <v>3456.78</v>
      </c>
      <c r="D44" s="10">
        <f t="shared" si="1"/>
        <v>-4.8219807208878973E-2</v>
      </c>
    </row>
    <row r="45" spans="2:4" x14ac:dyDescent="0.3">
      <c r="B45" s="22">
        <v>37073</v>
      </c>
      <c r="C45">
        <v>3329.28</v>
      </c>
      <c r="D45" s="10">
        <f t="shared" si="1"/>
        <v>-3.6884036588964331E-2</v>
      </c>
    </row>
    <row r="46" spans="2:4" x14ac:dyDescent="0.3">
      <c r="B46" s="22">
        <v>37104</v>
      </c>
      <c r="C46">
        <v>3244.95</v>
      </c>
      <c r="D46" s="10">
        <f t="shared" si="1"/>
        <v>-2.5329801038062372E-2</v>
      </c>
    </row>
    <row r="47" spans="2:4" x14ac:dyDescent="0.3">
      <c r="B47" s="22">
        <v>37135</v>
      </c>
      <c r="C47">
        <v>2811.6</v>
      </c>
      <c r="D47" s="10">
        <f t="shared" si="1"/>
        <v>-0.13354597143253366</v>
      </c>
    </row>
    <row r="48" spans="2:4" x14ac:dyDescent="0.3">
      <c r="B48" s="22">
        <v>37165</v>
      </c>
      <c r="C48">
        <v>2989.35</v>
      </c>
      <c r="D48" s="10">
        <f t="shared" si="1"/>
        <v>6.3220230473751693E-2</v>
      </c>
    </row>
    <row r="49" spans="2:4" x14ac:dyDescent="0.3">
      <c r="B49" s="22">
        <v>37196</v>
      </c>
      <c r="C49">
        <v>3287.56</v>
      </c>
      <c r="D49" s="10">
        <f t="shared" si="1"/>
        <v>9.9757472360212152E-2</v>
      </c>
    </row>
    <row r="50" spans="2:4" x14ac:dyDescent="0.3">
      <c r="B50" s="22">
        <v>37226</v>
      </c>
      <c r="C50">
        <v>3262.33</v>
      </c>
      <c r="D50" s="10">
        <f t="shared" si="1"/>
        <v>-7.6743846500140211E-3</v>
      </c>
    </row>
    <row r="51" spans="2:4" x14ac:dyDescent="0.3">
      <c r="B51" s="22">
        <v>37257</v>
      </c>
      <c r="C51">
        <v>3311.03</v>
      </c>
      <c r="D51" s="10">
        <f t="shared" si="1"/>
        <v>1.4927980921611406E-2</v>
      </c>
    </row>
    <row r="52" spans="2:4" x14ac:dyDescent="0.3">
      <c r="B52" s="22">
        <v>37288</v>
      </c>
      <c r="C52">
        <v>3562.31</v>
      </c>
      <c r="D52" s="10">
        <f t="shared" si="1"/>
        <v>7.5891791980138956E-2</v>
      </c>
    </row>
    <row r="53" spans="2:4" x14ac:dyDescent="0.3">
      <c r="B53" s="22">
        <v>37316</v>
      </c>
      <c r="C53">
        <v>3469.35</v>
      </c>
      <c r="D53" s="10">
        <f t="shared" si="1"/>
        <v>-2.6095426843817604E-2</v>
      </c>
    </row>
    <row r="54" spans="2:4" x14ac:dyDescent="0.3">
      <c r="B54" s="22">
        <v>37347</v>
      </c>
      <c r="C54">
        <v>3338.16</v>
      </c>
      <c r="D54" s="10">
        <f t="shared" si="1"/>
        <v>-3.7813999740585413E-2</v>
      </c>
    </row>
    <row r="55" spans="2:4" x14ac:dyDescent="0.3">
      <c r="B55" s="22">
        <v>37377</v>
      </c>
      <c r="C55">
        <v>3125.73</v>
      </c>
      <c r="D55" s="10">
        <f t="shared" si="1"/>
        <v>-6.363685383564599E-2</v>
      </c>
    </row>
    <row r="56" spans="2:4" x14ac:dyDescent="0.3">
      <c r="B56" s="22">
        <v>37408</v>
      </c>
      <c r="C56">
        <v>3244.7</v>
      </c>
      <c r="D56" s="10">
        <f t="shared" si="1"/>
        <v>3.8061508831536806E-2</v>
      </c>
    </row>
    <row r="57" spans="2:4" x14ac:dyDescent="0.3">
      <c r="B57" s="22">
        <v>37438</v>
      </c>
      <c r="C57">
        <v>2987.65</v>
      </c>
      <c r="D57" s="10">
        <f t="shared" si="1"/>
        <v>-7.9221499676395246E-2</v>
      </c>
    </row>
    <row r="58" spans="2:4" x14ac:dyDescent="0.3">
      <c r="B58" s="22">
        <v>37469</v>
      </c>
      <c r="C58">
        <v>3181.23</v>
      </c>
      <c r="D58" s="10">
        <f t="shared" si="1"/>
        <v>6.4793399494585957E-2</v>
      </c>
    </row>
    <row r="59" spans="2:4" x14ac:dyDescent="0.3">
      <c r="B59" s="22">
        <v>37500</v>
      </c>
      <c r="C59">
        <v>2991.36</v>
      </c>
      <c r="D59" s="10">
        <f t="shared" si="1"/>
        <v>-5.9684461670485911E-2</v>
      </c>
    </row>
    <row r="60" spans="2:4" x14ac:dyDescent="0.3">
      <c r="B60" s="22">
        <v>37530</v>
      </c>
      <c r="C60">
        <v>2949.32</v>
      </c>
      <c r="D60" s="10">
        <f t="shared" si="1"/>
        <v>-1.4053808301240922E-2</v>
      </c>
    </row>
    <row r="61" spans="2:4" x14ac:dyDescent="0.3">
      <c r="B61" s="22">
        <v>37561</v>
      </c>
      <c r="C61">
        <v>3228.82</v>
      </c>
      <c r="D61" s="10">
        <f t="shared" si="1"/>
        <v>9.476760744849666E-2</v>
      </c>
    </row>
    <row r="62" spans="2:4" x14ac:dyDescent="0.3">
      <c r="B62" s="22">
        <v>37591</v>
      </c>
      <c r="C62">
        <v>3377.28</v>
      </c>
      <c r="D62" s="10">
        <f t="shared" si="1"/>
        <v>4.5979645814879788E-2</v>
      </c>
    </row>
    <row r="63" spans="2:4" x14ac:dyDescent="0.3">
      <c r="B63" s="22">
        <v>37622</v>
      </c>
      <c r="C63">
        <v>3250.38</v>
      </c>
      <c r="D63" s="10">
        <f t="shared" si="1"/>
        <v>-3.7574616259238192E-2</v>
      </c>
    </row>
    <row r="64" spans="2:4" x14ac:dyDescent="0.3">
      <c r="B64" s="22">
        <v>37653</v>
      </c>
      <c r="C64">
        <v>3283.66</v>
      </c>
      <c r="D64" s="10">
        <f t="shared" si="1"/>
        <v>1.0238802847666983E-2</v>
      </c>
    </row>
    <row r="65" spans="2:4" x14ac:dyDescent="0.3">
      <c r="B65" s="22">
        <v>37681</v>
      </c>
      <c r="C65">
        <v>3048.72</v>
      </c>
      <c r="D65" s="10">
        <f t="shared" si="1"/>
        <v>-7.1548211446982979E-2</v>
      </c>
    </row>
    <row r="66" spans="2:4" x14ac:dyDescent="0.3">
      <c r="B66" s="22">
        <v>37712</v>
      </c>
      <c r="C66">
        <v>2959.79</v>
      </c>
      <c r="D66" s="10">
        <f t="shared" si="1"/>
        <v>-2.9169618725235491E-2</v>
      </c>
    </row>
    <row r="67" spans="2:4" x14ac:dyDescent="0.3">
      <c r="B67" s="22">
        <v>37742</v>
      </c>
      <c r="C67">
        <v>3180.75</v>
      </c>
      <c r="D67" s="10">
        <f t="shared" si="1"/>
        <v>7.4653945043398284E-2</v>
      </c>
    </row>
    <row r="68" spans="2:4" x14ac:dyDescent="0.3">
      <c r="B68" s="22">
        <v>37773</v>
      </c>
      <c r="C68">
        <v>3607.13</v>
      </c>
      <c r="D68" s="10">
        <f t="shared" si="1"/>
        <v>0.13405014540595772</v>
      </c>
    </row>
    <row r="69" spans="2:4" x14ac:dyDescent="0.3">
      <c r="B69" s="22">
        <v>37803</v>
      </c>
      <c r="C69">
        <v>3792.61</v>
      </c>
      <c r="D69" s="10">
        <f t="shared" ref="D69:D132" si="5">C69/C68-1</f>
        <v>5.1420381300369078E-2</v>
      </c>
    </row>
    <row r="70" spans="2:4" x14ac:dyDescent="0.3">
      <c r="B70" s="22">
        <v>37834</v>
      </c>
      <c r="C70">
        <v>4244.7299999999996</v>
      </c>
      <c r="D70" s="10">
        <f t="shared" si="5"/>
        <v>0.11921078096614179</v>
      </c>
    </row>
    <row r="71" spans="2:4" x14ac:dyDescent="0.3">
      <c r="B71" s="22">
        <v>37865</v>
      </c>
      <c r="C71">
        <v>4453.24</v>
      </c>
      <c r="D71" s="10">
        <f t="shared" si="5"/>
        <v>4.9122087859534203E-2</v>
      </c>
    </row>
    <row r="72" spans="2:4" x14ac:dyDescent="0.3">
      <c r="B72" s="22">
        <v>37895</v>
      </c>
      <c r="C72">
        <v>4906.87</v>
      </c>
      <c r="D72" s="10">
        <f t="shared" si="5"/>
        <v>0.10186515885063452</v>
      </c>
    </row>
    <row r="73" spans="2:4" x14ac:dyDescent="0.3">
      <c r="B73" s="22">
        <v>37926</v>
      </c>
      <c r="C73">
        <v>5044.82</v>
      </c>
      <c r="D73" s="10">
        <f t="shared" si="5"/>
        <v>2.8113644747058686E-2</v>
      </c>
    </row>
    <row r="74" spans="2:4" x14ac:dyDescent="0.3">
      <c r="B74" s="22">
        <v>37956</v>
      </c>
      <c r="C74">
        <v>5838.96</v>
      </c>
      <c r="D74" s="10">
        <f t="shared" si="5"/>
        <v>0.15741691477594855</v>
      </c>
    </row>
    <row r="75" spans="2:4" x14ac:dyDescent="0.3">
      <c r="B75" s="22">
        <v>37987</v>
      </c>
      <c r="C75">
        <v>5695.67</v>
      </c>
      <c r="D75" s="10">
        <f t="shared" si="5"/>
        <v>-2.4540329099702718E-2</v>
      </c>
    </row>
    <row r="76" spans="2:4" x14ac:dyDescent="0.3">
      <c r="B76" s="22">
        <v>38018</v>
      </c>
      <c r="C76">
        <v>5667.51</v>
      </c>
      <c r="D76" s="10">
        <f t="shared" si="5"/>
        <v>-4.9441066634828834E-3</v>
      </c>
    </row>
    <row r="77" spans="2:4" x14ac:dyDescent="0.3">
      <c r="B77" s="22">
        <v>38047</v>
      </c>
      <c r="C77">
        <v>5590.6</v>
      </c>
      <c r="D77" s="10">
        <f t="shared" si="5"/>
        <v>-1.3570333356271114E-2</v>
      </c>
    </row>
    <row r="78" spans="2:4" x14ac:dyDescent="0.3">
      <c r="B78" s="22">
        <v>38078</v>
      </c>
      <c r="C78">
        <v>5655.09</v>
      </c>
      <c r="D78" s="10">
        <f t="shared" si="5"/>
        <v>1.1535434479304607E-2</v>
      </c>
    </row>
    <row r="79" spans="2:4" x14ac:dyDescent="0.3">
      <c r="B79" s="22">
        <v>38108</v>
      </c>
      <c r="C79">
        <v>4759.62</v>
      </c>
      <c r="D79" s="10">
        <f t="shared" si="5"/>
        <v>-0.15834761250484086</v>
      </c>
    </row>
    <row r="80" spans="2:4" x14ac:dyDescent="0.3">
      <c r="B80" s="22">
        <v>38139</v>
      </c>
      <c r="C80">
        <v>4795.46</v>
      </c>
      <c r="D80" s="10">
        <f t="shared" si="5"/>
        <v>7.5300129001896199E-3</v>
      </c>
    </row>
    <row r="81" spans="2:4" x14ac:dyDescent="0.3">
      <c r="B81" s="22">
        <v>38169</v>
      </c>
      <c r="C81">
        <v>5170.32</v>
      </c>
      <c r="D81" s="10">
        <f t="shared" si="5"/>
        <v>7.816976890642402E-2</v>
      </c>
    </row>
    <row r="82" spans="2:4" x14ac:dyDescent="0.3">
      <c r="B82" s="22">
        <v>38200</v>
      </c>
      <c r="C82">
        <v>5192.08</v>
      </c>
      <c r="D82" s="10">
        <f t="shared" si="5"/>
        <v>4.2086369895868447E-3</v>
      </c>
    </row>
    <row r="83" spans="2:4" x14ac:dyDescent="0.3">
      <c r="B83" s="22">
        <v>38231</v>
      </c>
      <c r="C83">
        <v>5583.61</v>
      </c>
      <c r="D83" s="10">
        <f t="shared" si="5"/>
        <v>7.5409084605784216E-2</v>
      </c>
    </row>
    <row r="84" spans="2:4" x14ac:dyDescent="0.3">
      <c r="B84" s="22">
        <v>38261</v>
      </c>
      <c r="C84">
        <v>5672.27</v>
      </c>
      <c r="D84" s="10">
        <f t="shared" si="5"/>
        <v>1.5878616164094694E-2</v>
      </c>
    </row>
    <row r="85" spans="2:4" x14ac:dyDescent="0.3">
      <c r="B85" s="22">
        <v>38292</v>
      </c>
      <c r="C85">
        <v>6234.29</v>
      </c>
      <c r="D85" s="10">
        <f t="shared" si="5"/>
        <v>9.9082025361980186E-2</v>
      </c>
    </row>
    <row r="86" spans="2:4" x14ac:dyDescent="0.3">
      <c r="B86" s="22">
        <v>38322</v>
      </c>
      <c r="C86">
        <v>6602.69</v>
      </c>
      <c r="D86" s="10">
        <f t="shared" si="5"/>
        <v>5.9092534995965895E-2</v>
      </c>
    </row>
    <row r="87" spans="2:4" x14ac:dyDescent="0.3">
      <c r="B87" s="22">
        <v>38353</v>
      </c>
      <c r="C87">
        <v>6555.94</v>
      </c>
      <c r="D87" s="10">
        <f t="shared" si="5"/>
        <v>-7.0804475145735957E-3</v>
      </c>
    </row>
    <row r="88" spans="2:4" x14ac:dyDescent="0.3">
      <c r="B88" s="22">
        <v>38384</v>
      </c>
      <c r="C88">
        <v>6713.86</v>
      </c>
      <c r="D88" s="10">
        <f t="shared" si="5"/>
        <v>2.4088078902491539E-2</v>
      </c>
    </row>
    <row r="89" spans="2:4" x14ac:dyDescent="0.3">
      <c r="B89" s="22">
        <v>38412</v>
      </c>
      <c r="C89">
        <v>6492.82</v>
      </c>
      <c r="D89" s="10">
        <f t="shared" si="5"/>
        <v>-3.2922938518229472E-2</v>
      </c>
    </row>
    <row r="90" spans="2:4" x14ac:dyDescent="0.3">
      <c r="B90" s="22">
        <v>38443</v>
      </c>
      <c r="C90">
        <v>6154.44</v>
      </c>
      <c r="D90" s="10">
        <f t="shared" si="5"/>
        <v>-5.2116029706660627E-2</v>
      </c>
    </row>
    <row r="91" spans="2:4" x14ac:dyDescent="0.3">
      <c r="B91" s="22">
        <v>38473</v>
      </c>
      <c r="C91">
        <v>6715.11</v>
      </c>
      <c r="D91" s="10">
        <f t="shared" si="5"/>
        <v>9.1100083841909374E-2</v>
      </c>
    </row>
    <row r="92" spans="2:4" x14ac:dyDescent="0.3">
      <c r="B92" s="22">
        <v>38504</v>
      </c>
      <c r="C92">
        <v>7193.85</v>
      </c>
      <c r="D92" s="10">
        <f t="shared" si="5"/>
        <v>7.1292949780420667E-2</v>
      </c>
    </row>
    <row r="93" spans="2:4" x14ac:dyDescent="0.3">
      <c r="B93" s="22">
        <v>38534</v>
      </c>
      <c r="C93">
        <v>7635.42</v>
      </c>
      <c r="D93" s="10">
        <f t="shared" si="5"/>
        <v>6.1381596780583303E-2</v>
      </c>
    </row>
    <row r="94" spans="2:4" x14ac:dyDescent="0.3">
      <c r="B94" s="22">
        <v>38565</v>
      </c>
      <c r="C94">
        <v>7805.43</v>
      </c>
      <c r="D94" s="10">
        <f t="shared" si="5"/>
        <v>2.2265965722907177E-2</v>
      </c>
    </row>
    <row r="95" spans="2:4" x14ac:dyDescent="0.3">
      <c r="B95" s="22">
        <v>38596</v>
      </c>
      <c r="C95">
        <v>8634.48</v>
      </c>
      <c r="D95" s="10">
        <f t="shared" si="5"/>
        <v>0.10621451989192132</v>
      </c>
    </row>
    <row r="96" spans="2:4" x14ac:dyDescent="0.3">
      <c r="B96" s="22">
        <v>38626</v>
      </c>
      <c r="C96">
        <v>7892.32</v>
      </c>
      <c r="D96" s="10">
        <f t="shared" si="5"/>
        <v>-8.595306260481228E-2</v>
      </c>
    </row>
    <row r="97" spans="2:4" x14ac:dyDescent="0.3">
      <c r="B97" s="22">
        <v>38657</v>
      </c>
      <c r="C97">
        <v>8788.81</v>
      </c>
      <c r="D97" s="10">
        <f t="shared" si="5"/>
        <v>0.11359017373852054</v>
      </c>
    </row>
    <row r="98" spans="2:4" x14ac:dyDescent="0.3">
      <c r="B98" s="22">
        <v>38687</v>
      </c>
      <c r="C98">
        <v>9397.93</v>
      </c>
      <c r="D98" s="10">
        <f t="shared" si="5"/>
        <v>6.9306311093310757E-2</v>
      </c>
    </row>
    <row r="99" spans="2:4" x14ac:dyDescent="0.3">
      <c r="B99" s="22">
        <v>38718</v>
      </c>
      <c r="C99">
        <v>9919.89</v>
      </c>
      <c r="D99" s="10">
        <f t="shared" si="5"/>
        <v>5.5539890167302763E-2</v>
      </c>
    </row>
    <row r="100" spans="2:4" x14ac:dyDescent="0.3">
      <c r="B100" s="22">
        <v>38749</v>
      </c>
      <c r="C100">
        <v>10370.24</v>
      </c>
      <c r="D100" s="10">
        <f t="shared" si="5"/>
        <v>4.5398688896751915E-2</v>
      </c>
    </row>
    <row r="101" spans="2:4" x14ac:dyDescent="0.3">
      <c r="B101" s="22">
        <v>38777</v>
      </c>
      <c r="C101">
        <v>11279.96</v>
      </c>
      <c r="D101" s="10">
        <f t="shared" si="5"/>
        <v>8.7724102817292593E-2</v>
      </c>
    </row>
    <row r="102" spans="2:4" x14ac:dyDescent="0.3">
      <c r="B102" s="22">
        <v>38808</v>
      </c>
      <c r="C102">
        <v>12042.56</v>
      </c>
      <c r="D102" s="10">
        <f t="shared" si="5"/>
        <v>6.7606622718520359E-2</v>
      </c>
    </row>
    <row r="103" spans="2:4" x14ac:dyDescent="0.3">
      <c r="B103" s="22">
        <v>38838</v>
      </c>
      <c r="C103">
        <v>10398.61</v>
      </c>
      <c r="D103" s="10">
        <f t="shared" si="5"/>
        <v>-0.13651167193686387</v>
      </c>
    </row>
    <row r="104" spans="2:4" x14ac:dyDescent="0.3">
      <c r="B104" s="22">
        <v>38869</v>
      </c>
      <c r="C104">
        <v>10609.25</v>
      </c>
      <c r="D104" s="10">
        <f t="shared" si="5"/>
        <v>2.025655352013378E-2</v>
      </c>
    </row>
    <row r="105" spans="2:4" x14ac:dyDescent="0.3">
      <c r="B105" s="22">
        <v>38899</v>
      </c>
      <c r="C105">
        <v>10743.88</v>
      </c>
      <c r="D105" s="10">
        <f t="shared" si="5"/>
        <v>1.2689869689186173E-2</v>
      </c>
    </row>
    <row r="106" spans="2:4" x14ac:dyDescent="0.3">
      <c r="B106" s="22">
        <v>38930</v>
      </c>
      <c r="C106">
        <v>11699.05</v>
      </c>
      <c r="D106" s="10">
        <f t="shared" si="5"/>
        <v>8.8903636302713807E-2</v>
      </c>
    </row>
    <row r="107" spans="2:4" x14ac:dyDescent="0.3">
      <c r="B107" s="22">
        <v>38961</v>
      </c>
      <c r="C107">
        <v>12454.42</v>
      </c>
      <c r="D107" s="10">
        <f t="shared" si="5"/>
        <v>6.4566781063419842E-2</v>
      </c>
    </row>
    <row r="108" spans="2:4" x14ac:dyDescent="0.3">
      <c r="B108" s="22">
        <v>38991</v>
      </c>
      <c r="C108">
        <v>12961.9</v>
      </c>
      <c r="D108" s="10">
        <f t="shared" si="5"/>
        <v>4.0746979787095627E-2</v>
      </c>
    </row>
    <row r="109" spans="2:4" x14ac:dyDescent="0.3">
      <c r="B109" s="22">
        <v>39022</v>
      </c>
      <c r="C109">
        <v>13696.31</v>
      </c>
      <c r="D109" s="10">
        <f t="shared" si="5"/>
        <v>5.6659131763090231E-2</v>
      </c>
    </row>
    <row r="110" spans="2:4" x14ac:dyDescent="0.3">
      <c r="B110" s="22">
        <v>39052</v>
      </c>
      <c r="C110">
        <v>13786.91</v>
      </c>
      <c r="D110" s="10">
        <f t="shared" si="5"/>
        <v>6.61492036906286E-3</v>
      </c>
    </row>
    <row r="111" spans="2:4" x14ac:dyDescent="0.3">
      <c r="B111" s="22">
        <v>39083</v>
      </c>
      <c r="C111">
        <v>14090.92</v>
      </c>
      <c r="D111" s="10">
        <f t="shared" si="5"/>
        <v>2.2050626282466457E-2</v>
      </c>
    </row>
    <row r="112" spans="2:4" x14ac:dyDescent="0.3">
      <c r="B112" s="22">
        <v>39114</v>
      </c>
      <c r="C112">
        <v>12938.09</v>
      </c>
      <c r="D112" s="10">
        <f t="shared" si="5"/>
        <v>-8.181367859586175E-2</v>
      </c>
    </row>
    <row r="113" spans="2:4" x14ac:dyDescent="0.3">
      <c r="B113" s="22">
        <v>39142</v>
      </c>
      <c r="C113">
        <v>13072.1</v>
      </c>
      <c r="D113" s="10">
        <f t="shared" si="5"/>
        <v>1.0357788514378852E-2</v>
      </c>
    </row>
    <row r="114" spans="2:4" x14ac:dyDescent="0.3">
      <c r="B114" s="22">
        <v>39173</v>
      </c>
      <c r="C114">
        <v>13872.37</v>
      </c>
      <c r="D114" s="10">
        <f t="shared" si="5"/>
        <v>6.1219696911743338E-2</v>
      </c>
    </row>
    <row r="115" spans="2:4" x14ac:dyDescent="0.3">
      <c r="B115" s="22">
        <v>39203</v>
      </c>
      <c r="C115">
        <v>14544.46</v>
      </c>
      <c r="D115" s="10">
        <f t="shared" si="5"/>
        <v>4.8448102234873947E-2</v>
      </c>
    </row>
    <row r="116" spans="2:4" x14ac:dyDescent="0.3">
      <c r="B116" s="22">
        <v>39234</v>
      </c>
      <c r="C116">
        <v>14650.51</v>
      </c>
      <c r="D116" s="10">
        <f t="shared" si="5"/>
        <v>7.2914360519400478E-3</v>
      </c>
    </row>
    <row r="117" spans="2:4" x14ac:dyDescent="0.3">
      <c r="B117" s="22">
        <v>39264</v>
      </c>
      <c r="C117">
        <v>15550.99</v>
      </c>
      <c r="D117" s="10">
        <f t="shared" si="5"/>
        <v>6.1464071899203443E-2</v>
      </c>
    </row>
    <row r="118" spans="2:4" x14ac:dyDescent="0.3">
      <c r="B118" s="22">
        <v>39295</v>
      </c>
      <c r="C118">
        <v>15318.6</v>
      </c>
      <c r="D118" s="10">
        <f t="shared" si="5"/>
        <v>-1.4943743131466181E-2</v>
      </c>
    </row>
    <row r="119" spans="2:4" x14ac:dyDescent="0.3">
      <c r="B119" s="22">
        <v>39326</v>
      </c>
      <c r="C119">
        <v>17291.099999999999</v>
      </c>
      <c r="D119" s="10">
        <f t="shared" si="5"/>
        <v>0.12876503074693502</v>
      </c>
    </row>
    <row r="120" spans="2:4" x14ac:dyDescent="0.3">
      <c r="B120" s="22">
        <v>39356</v>
      </c>
      <c r="C120">
        <v>19837.990000000002</v>
      </c>
      <c r="D120" s="10">
        <f t="shared" si="5"/>
        <v>0.14729485110837381</v>
      </c>
    </row>
    <row r="121" spans="2:4" x14ac:dyDescent="0.3">
      <c r="B121" s="22">
        <v>39387</v>
      </c>
      <c r="C121">
        <v>19363.189999999999</v>
      </c>
      <c r="D121" s="10">
        <f t="shared" si="5"/>
        <v>-2.3933876365498818E-2</v>
      </c>
    </row>
    <row r="122" spans="2:4" x14ac:dyDescent="0.3">
      <c r="B122" s="22">
        <v>39417</v>
      </c>
      <c r="C122">
        <v>20286.990000000002</v>
      </c>
      <c r="D122" s="10">
        <f t="shared" si="5"/>
        <v>4.7709080993369568E-2</v>
      </c>
    </row>
    <row r="123" spans="2:4" x14ac:dyDescent="0.3">
      <c r="B123" s="22">
        <v>39448</v>
      </c>
      <c r="C123">
        <v>17648.71</v>
      </c>
      <c r="D123" s="10">
        <f t="shared" si="5"/>
        <v>-0.13004787797499784</v>
      </c>
    </row>
    <row r="124" spans="2:4" x14ac:dyDescent="0.3">
      <c r="B124" s="22">
        <v>39479</v>
      </c>
      <c r="C124">
        <v>17578.72</v>
      </c>
      <c r="D124" s="10">
        <f t="shared" si="5"/>
        <v>-3.9657289399620543E-3</v>
      </c>
    </row>
    <row r="125" spans="2:4" x14ac:dyDescent="0.3">
      <c r="B125" s="22">
        <v>39508</v>
      </c>
      <c r="C125">
        <v>15644.44</v>
      </c>
      <c r="D125" s="10">
        <f t="shared" si="5"/>
        <v>-0.11003531542683431</v>
      </c>
    </row>
    <row r="126" spans="2:4" x14ac:dyDescent="0.3">
      <c r="B126" s="22">
        <v>39539</v>
      </c>
      <c r="C126">
        <v>17287.310000000001</v>
      </c>
      <c r="D126" s="10">
        <f t="shared" si="5"/>
        <v>0.10501302699233728</v>
      </c>
    </row>
    <row r="127" spans="2:4" x14ac:dyDescent="0.3">
      <c r="B127" s="22">
        <v>39569</v>
      </c>
      <c r="C127">
        <v>16415.57</v>
      </c>
      <c r="D127" s="10">
        <f t="shared" si="5"/>
        <v>-5.0426584587191514E-2</v>
      </c>
    </row>
    <row r="128" spans="2:4" x14ac:dyDescent="0.3">
      <c r="B128" s="22">
        <v>39600</v>
      </c>
      <c r="C128">
        <v>13461.6</v>
      </c>
      <c r="D128" s="10">
        <f t="shared" si="5"/>
        <v>-0.17994927986052267</v>
      </c>
    </row>
    <row r="129" spans="2:4" x14ac:dyDescent="0.3">
      <c r="B129" s="22">
        <v>39630</v>
      </c>
      <c r="C129">
        <v>14355.75</v>
      </c>
      <c r="D129" s="10">
        <f t="shared" si="5"/>
        <v>6.6422267783918576E-2</v>
      </c>
    </row>
    <row r="130" spans="2:4" x14ac:dyDescent="0.3">
      <c r="B130" s="22">
        <v>39661</v>
      </c>
      <c r="C130">
        <v>14564.53</v>
      </c>
      <c r="D130" s="10">
        <f t="shared" si="5"/>
        <v>1.4543301464569947E-2</v>
      </c>
    </row>
    <row r="131" spans="2:4" x14ac:dyDescent="0.3">
      <c r="B131" s="22">
        <v>39692</v>
      </c>
      <c r="C131">
        <v>12860.43</v>
      </c>
      <c r="D131" s="10">
        <f t="shared" si="5"/>
        <v>-0.11700343231123833</v>
      </c>
    </row>
    <row r="132" spans="2:4" x14ac:dyDescent="0.3">
      <c r="B132" s="22">
        <v>39722</v>
      </c>
      <c r="C132">
        <v>9788.06</v>
      </c>
      <c r="D132" s="10">
        <f t="shared" si="5"/>
        <v>-0.23890103208057589</v>
      </c>
    </row>
    <row r="133" spans="2:4" x14ac:dyDescent="0.3">
      <c r="B133" s="22">
        <v>39753</v>
      </c>
      <c r="C133">
        <v>9092.7199999999993</v>
      </c>
      <c r="D133" s="10">
        <f t="shared" ref="D133:D196" si="6">C133/C132-1</f>
        <v>-7.1039613570002658E-2</v>
      </c>
    </row>
    <row r="134" spans="2:4" x14ac:dyDescent="0.3">
      <c r="B134" s="22">
        <v>39783</v>
      </c>
      <c r="C134">
        <v>9647.31</v>
      </c>
      <c r="D134" s="10">
        <f t="shared" si="6"/>
        <v>6.0992750244151406E-2</v>
      </c>
    </row>
    <row r="135" spans="2:4" x14ac:dyDescent="0.3">
      <c r="B135" s="22">
        <v>39814</v>
      </c>
      <c r="C135">
        <v>9424.24</v>
      </c>
      <c r="D135" s="10">
        <f t="shared" si="6"/>
        <v>-2.312250772495128E-2</v>
      </c>
    </row>
    <row r="136" spans="2:4" x14ac:dyDescent="0.3">
      <c r="B136" s="22">
        <v>39845</v>
      </c>
      <c r="C136">
        <v>8891.61</v>
      </c>
      <c r="D136" s="10">
        <f t="shared" si="6"/>
        <v>-5.6517024184443487E-2</v>
      </c>
    </row>
    <row r="137" spans="2:4" x14ac:dyDescent="0.3">
      <c r="B137" s="22">
        <v>39873</v>
      </c>
      <c r="C137">
        <v>9708.5</v>
      </c>
      <c r="D137" s="10">
        <f t="shared" si="6"/>
        <v>9.1872000683790533E-2</v>
      </c>
    </row>
    <row r="138" spans="2:4" x14ac:dyDescent="0.3">
      <c r="B138" s="22">
        <v>39904</v>
      </c>
      <c r="C138">
        <v>11403.25</v>
      </c>
      <c r="D138" s="10">
        <f t="shared" si="6"/>
        <v>0.17456352680640674</v>
      </c>
    </row>
    <row r="139" spans="2:4" x14ac:dyDescent="0.3">
      <c r="B139" s="22">
        <v>39934</v>
      </c>
      <c r="C139">
        <v>14625.25</v>
      </c>
      <c r="D139" s="10">
        <f t="shared" si="6"/>
        <v>0.28255102711946156</v>
      </c>
    </row>
    <row r="140" spans="2:4" x14ac:dyDescent="0.3">
      <c r="B140" s="22">
        <v>39965</v>
      </c>
      <c r="C140">
        <v>14493.84</v>
      </c>
      <c r="D140" s="10">
        <f t="shared" si="6"/>
        <v>-8.9851455530675084E-3</v>
      </c>
    </row>
    <row r="141" spans="2:4" x14ac:dyDescent="0.3">
      <c r="B141" s="22">
        <v>39995</v>
      </c>
      <c r="C141">
        <v>15670.31</v>
      </c>
      <c r="D141" s="10">
        <f t="shared" si="6"/>
        <v>8.1170345470903404E-2</v>
      </c>
    </row>
    <row r="142" spans="2:4" x14ac:dyDescent="0.3">
      <c r="B142" s="22">
        <v>40026</v>
      </c>
      <c r="C142">
        <v>15666.64</v>
      </c>
      <c r="D142" s="10">
        <f t="shared" si="6"/>
        <v>-2.3420085499270549E-4</v>
      </c>
    </row>
    <row r="143" spans="2:4" x14ac:dyDescent="0.3">
      <c r="B143" s="22">
        <v>40057</v>
      </c>
      <c r="C143">
        <v>17126.84</v>
      </c>
      <c r="D143" s="10">
        <f t="shared" si="6"/>
        <v>9.3204413964959931E-2</v>
      </c>
    </row>
    <row r="144" spans="2:4" x14ac:dyDescent="0.3">
      <c r="B144" s="22">
        <v>40087</v>
      </c>
      <c r="C144">
        <v>15896.28</v>
      </c>
      <c r="D144" s="10">
        <f t="shared" si="6"/>
        <v>-7.1849798328238013E-2</v>
      </c>
    </row>
    <row r="145" spans="2:4" x14ac:dyDescent="0.3">
      <c r="B145" s="22">
        <v>40118</v>
      </c>
      <c r="C145">
        <v>16926.22</v>
      </c>
      <c r="D145" s="10">
        <f t="shared" si="6"/>
        <v>6.479125933866281E-2</v>
      </c>
    </row>
    <row r="146" spans="2:4" x14ac:dyDescent="0.3">
      <c r="B146" s="22">
        <v>40148</v>
      </c>
      <c r="C146">
        <v>17464.810000000001</v>
      </c>
      <c r="D146" s="10">
        <f t="shared" si="6"/>
        <v>3.1819862910915653E-2</v>
      </c>
    </row>
    <row r="147" spans="2:4" x14ac:dyDescent="0.3">
      <c r="B147" s="22">
        <v>40179</v>
      </c>
      <c r="C147">
        <v>16357.96</v>
      </c>
      <c r="D147" s="10">
        <f t="shared" si="6"/>
        <v>-6.3376011534050591E-2</v>
      </c>
    </row>
    <row r="148" spans="2:4" x14ac:dyDescent="0.3">
      <c r="B148" s="22">
        <v>40210</v>
      </c>
      <c r="C148">
        <v>16429.55</v>
      </c>
      <c r="D148" s="10">
        <f t="shared" si="6"/>
        <v>4.3764625906899113E-3</v>
      </c>
    </row>
    <row r="149" spans="2:4" x14ac:dyDescent="0.3">
      <c r="B149" s="22">
        <v>40238</v>
      </c>
      <c r="C149">
        <v>17527.77</v>
      </c>
      <c r="D149" s="10">
        <f t="shared" si="6"/>
        <v>6.6844192324196472E-2</v>
      </c>
    </row>
    <row r="150" spans="2:4" x14ac:dyDescent="0.3">
      <c r="B150" s="22">
        <v>40269</v>
      </c>
      <c r="C150">
        <v>17558.71</v>
      </c>
      <c r="D150" s="10">
        <f t="shared" si="6"/>
        <v>1.7651988815461372E-3</v>
      </c>
    </row>
    <row r="151" spans="2:4" x14ac:dyDescent="0.3">
      <c r="B151" s="22">
        <v>40299</v>
      </c>
      <c r="C151">
        <v>16944.63</v>
      </c>
      <c r="D151" s="10">
        <f t="shared" si="6"/>
        <v>-3.4972956441560843E-2</v>
      </c>
    </row>
    <row r="152" spans="2:4" x14ac:dyDescent="0.3">
      <c r="B152" s="22">
        <v>40330</v>
      </c>
      <c r="C152">
        <v>17700.900000000001</v>
      </c>
      <c r="D152" s="10">
        <f t="shared" si="6"/>
        <v>4.4631839113630667E-2</v>
      </c>
    </row>
    <row r="153" spans="2:4" x14ac:dyDescent="0.3">
      <c r="B153" s="22">
        <v>40360</v>
      </c>
      <c r="C153">
        <v>17868.29</v>
      </c>
      <c r="D153" s="10">
        <f t="shared" si="6"/>
        <v>9.4565813037754687E-3</v>
      </c>
    </row>
    <row r="154" spans="2:4" x14ac:dyDescent="0.3">
      <c r="B154" s="22">
        <v>40391</v>
      </c>
      <c r="C154">
        <v>17971.12</v>
      </c>
      <c r="D154" s="10">
        <f t="shared" si="6"/>
        <v>5.7548875689839019E-3</v>
      </c>
    </row>
    <row r="155" spans="2:4" x14ac:dyDescent="0.3">
      <c r="B155" s="22">
        <v>40422</v>
      </c>
      <c r="C155">
        <v>20069.12</v>
      </c>
      <c r="D155" s="10">
        <f t="shared" si="6"/>
        <v>0.11674286299351411</v>
      </c>
    </row>
    <row r="156" spans="2:4" x14ac:dyDescent="0.3">
      <c r="B156" s="22">
        <v>40452</v>
      </c>
      <c r="C156">
        <v>20032.34</v>
      </c>
      <c r="D156" s="10">
        <f t="shared" si="6"/>
        <v>-1.8326663052490311E-3</v>
      </c>
    </row>
    <row r="157" spans="2:4" x14ac:dyDescent="0.3">
      <c r="B157" s="22">
        <v>40483</v>
      </c>
      <c r="C157">
        <v>19521.25</v>
      </c>
      <c r="D157" s="10">
        <f t="shared" si="6"/>
        <v>-2.5513245082701252E-2</v>
      </c>
    </row>
    <row r="158" spans="2:4" x14ac:dyDescent="0.3">
      <c r="B158" s="22">
        <v>40513</v>
      </c>
      <c r="C158">
        <v>20509.09</v>
      </c>
      <c r="D158" s="10">
        <f t="shared" si="6"/>
        <v>5.0603316898251816E-2</v>
      </c>
    </row>
    <row r="159" spans="2:4" x14ac:dyDescent="0.3">
      <c r="B159" s="22">
        <v>40544</v>
      </c>
      <c r="C159">
        <v>18327.759999999998</v>
      </c>
      <c r="D159" s="10">
        <f t="shared" si="6"/>
        <v>-0.10635918024641766</v>
      </c>
    </row>
    <row r="160" spans="2:4" x14ac:dyDescent="0.3">
      <c r="B160" s="22">
        <v>40575</v>
      </c>
      <c r="C160">
        <v>17823.400000000001</v>
      </c>
      <c r="D160" s="10">
        <f t="shared" si="6"/>
        <v>-2.7518911203551211E-2</v>
      </c>
    </row>
    <row r="161" spans="2:4" x14ac:dyDescent="0.3">
      <c r="B161" s="22">
        <v>40603</v>
      </c>
      <c r="C161">
        <v>19445.22</v>
      </c>
      <c r="D161" s="10">
        <f t="shared" si="6"/>
        <v>9.0993862001638171E-2</v>
      </c>
    </row>
    <row r="162" spans="2:4" x14ac:dyDescent="0.3">
      <c r="B162" s="22">
        <v>40634</v>
      </c>
      <c r="C162">
        <v>19135.96</v>
      </c>
      <c r="D162" s="10">
        <f t="shared" si="6"/>
        <v>-1.5904165650992952E-2</v>
      </c>
    </row>
    <row r="163" spans="2:4" x14ac:dyDescent="0.3">
      <c r="B163" s="22">
        <v>40664</v>
      </c>
      <c r="C163">
        <v>18503.28</v>
      </c>
      <c r="D163" s="10">
        <f t="shared" si="6"/>
        <v>-3.306236008018415E-2</v>
      </c>
    </row>
    <row r="164" spans="2:4" x14ac:dyDescent="0.3">
      <c r="B164" s="22">
        <v>40695</v>
      </c>
      <c r="C164">
        <v>18845.87</v>
      </c>
      <c r="D164" s="10">
        <f t="shared" si="6"/>
        <v>1.8515095701951312E-2</v>
      </c>
    </row>
    <row r="165" spans="2:4" x14ac:dyDescent="0.3">
      <c r="B165" s="22">
        <v>40725</v>
      </c>
      <c r="C165">
        <v>18197.2</v>
      </c>
      <c r="D165" s="10">
        <f t="shared" si="6"/>
        <v>-3.4419742893270433E-2</v>
      </c>
    </row>
    <row r="166" spans="2:4" x14ac:dyDescent="0.3">
      <c r="B166" s="22">
        <v>40756</v>
      </c>
      <c r="C166">
        <v>16676.75</v>
      </c>
      <c r="D166" s="10">
        <f t="shared" si="6"/>
        <v>-8.3554063262479938E-2</v>
      </c>
    </row>
    <row r="167" spans="2:4" x14ac:dyDescent="0.3">
      <c r="B167" s="22">
        <v>40787</v>
      </c>
      <c r="C167">
        <v>16453.759999999998</v>
      </c>
      <c r="D167" s="10">
        <f t="shared" si="6"/>
        <v>-1.3371310357233934E-2</v>
      </c>
    </row>
    <row r="168" spans="2:4" x14ac:dyDescent="0.3">
      <c r="B168" s="22">
        <v>40817</v>
      </c>
      <c r="C168">
        <v>17705.009999999998</v>
      </c>
      <c r="D168" s="10">
        <f t="shared" si="6"/>
        <v>7.604644774203595E-2</v>
      </c>
    </row>
    <row r="169" spans="2:4" x14ac:dyDescent="0.3">
      <c r="B169" s="22">
        <v>40848</v>
      </c>
      <c r="C169">
        <v>16123.46</v>
      </c>
      <c r="D169" s="10">
        <f t="shared" si="6"/>
        <v>-8.9327823028622966E-2</v>
      </c>
    </row>
    <row r="170" spans="2:4" x14ac:dyDescent="0.3">
      <c r="B170" s="22">
        <v>40878</v>
      </c>
      <c r="C170">
        <v>15454.92</v>
      </c>
      <c r="D170" s="10">
        <f t="shared" si="6"/>
        <v>-4.1463804915322089E-2</v>
      </c>
    </row>
    <row r="171" spans="2:4" x14ac:dyDescent="0.3">
      <c r="B171" s="22">
        <v>40909</v>
      </c>
      <c r="C171">
        <v>17193.55</v>
      </c>
      <c r="D171" s="10">
        <f t="shared" si="6"/>
        <v>0.11249686184076002</v>
      </c>
    </row>
    <row r="172" spans="2:4" x14ac:dyDescent="0.3">
      <c r="B172" s="22">
        <v>40940</v>
      </c>
      <c r="C172">
        <v>17752.68</v>
      </c>
      <c r="D172" s="10">
        <f t="shared" si="6"/>
        <v>3.2519753046927447E-2</v>
      </c>
    </row>
    <row r="173" spans="2:4" x14ac:dyDescent="0.3">
      <c r="B173" s="22">
        <v>40969</v>
      </c>
      <c r="C173">
        <v>17404.2</v>
      </c>
      <c r="D173" s="10">
        <f t="shared" si="6"/>
        <v>-1.9629712246263642E-2</v>
      </c>
    </row>
    <row r="174" spans="2:4" x14ac:dyDescent="0.3">
      <c r="B174" s="22">
        <v>41000</v>
      </c>
      <c r="C174">
        <v>17318.810000000001</v>
      </c>
      <c r="D174" s="10">
        <f t="shared" si="6"/>
        <v>-4.9062869881981719E-3</v>
      </c>
    </row>
    <row r="175" spans="2:4" x14ac:dyDescent="0.3">
      <c r="B175" s="22">
        <v>41030</v>
      </c>
      <c r="C175">
        <v>16218.53</v>
      </c>
      <c r="D175" s="10">
        <f t="shared" si="6"/>
        <v>-6.353092389142212E-2</v>
      </c>
    </row>
    <row r="176" spans="2:4" x14ac:dyDescent="0.3">
      <c r="B176" s="22">
        <v>41061</v>
      </c>
      <c r="C176">
        <v>17429.98</v>
      </c>
      <c r="D176" s="10">
        <f t="shared" si="6"/>
        <v>7.4695425541032368E-2</v>
      </c>
    </row>
    <row r="177" spans="2:4" x14ac:dyDescent="0.3">
      <c r="B177" s="22">
        <v>41091</v>
      </c>
      <c r="C177">
        <v>17236.18</v>
      </c>
      <c r="D177" s="10">
        <f t="shared" si="6"/>
        <v>-1.1118773515517488E-2</v>
      </c>
    </row>
    <row r="178" spans="2:4" x14ac:dyDescent="0.3">
      <c r="B178" s="22">
        <v>41122</v>
      </c>
      <c r="C178">
        <v>17429.560000000001</v>
      </c>
      <c r="D178" s="10">
        <f t="shared" si="6"/>
        <v>1.1219423329299261E-2</v>
      </c>
    </row>
    <row r="179" spans="2:4" x14ac:dyDescent="0.3">
      <c r="B179" s="22">
        <v>41153</v>
      </c>
      <c r="C179">
        <v>18762.740000000002</v>
      </c>
      <c r="D179" s="10">
        <f t="shared" si="6"/>
        <v>7.6489595836039426E-2</v>
      </c>
    </row>
    <row r="180" spans="2:4" x14ac:dyDescent="0.3">
      <c r="B180" s="22">
        <v>41183</v>
      </c>
      <c r="C180">
        <v>18505.38</v>
      </c>
      <c r="D180" s="10">
        <f t="shared" si="6"/>
        <v>-1.3716546730381585E-2</v>
      </c>
    </row>
    <row r="181" spans="2:4" x14ac:dyDescent="0.3">
      <c r="B181" s="22">
        <v>41214</v>
      </c>
      <c r="C181">
        <v>19339.900000000001</v>
      </c>
      <c r="D181" s="10">
        <f t="shared" si="6"/>
        <v>4.5096074763123051E-2</v>
      </c>
    </row>
    <row r="182" spans="2:4" x14ac:dyDescent="0.3">
      <c r="B182" s="22">
        <v>41244</v>
      </c>
      <c r="C182">
        <v>19426.71</v>
      </c>
      <c r="D182" s="10">
        <f t="shared" si="6"/>
        <v>4.4886478213432834E-3</v>
      </c>
    </row>
    <row r="183" spans="2:4" x14ac:dyDescent="0.3">
      <c r="B183" s="22">
        <v>41275</v>
      </c>
      <c r="C183">
        <v>19894.98</v>
      </c>
      <c r="D183" s="10">
        <f t="shared" si="6"/>
        <v>2.4104441771149121E-2</v>
      </c>
    </row>
    <row r="184" spans="2:4" x14ac:dyDescent="0.3">
      <c r="B184" s="22">
        <v>41306</v>
      </c>
      <c r="C184">
        <v>18861.54</v>
      </c>
      <c r="D184" s="10">
        <f t="shared" si="6"/>
        <v>-5.1944761944972995E-2</v>
      </c>
    </row>
    <row r="185" spans="2:4" x14ac:dyDescent="0.3">
      <c r="B185" s="22">
        <v>41334</v>
      </c>
      <c r="C185">
        <v>18835.77</v>
      </c>
      <c r="D185" s="10">
        <f t="shared" si="6"/>
        <v>-1.3662723192273685E-3</v>
      </c>
    </row>
    <row r="186" spans="2:4" x14ac:dyDescent="0.3">
      <c r="B186" s="22">
        <v>41365</v>
      </c>
      <c r="C186">
        <v>19504.18</v>
      </c>
      <c r="D186" s="10">
        <f t="shared" si="6"/>
        <v>3.5486205236101354E-2</v>
      </c>
    </row>
    <row r="187" spans="2:4" x14ac:dyDescent="0.3">
      <c r="B187" s="22">
        <v>41395</v>
      </c>
      <c r="C187">
        <v>19760.3</v>
      </c>
      <c r="D187" s="10">
        <f t="shared" si="6"/>
        <v>1.3131544110031701E-2</v>
      </c>
    </row>
    <row r="188" spans="2:4" x14ac:dyDescent="0.3">
      <c r="B188" s="22">
        <v>41426</v>
      </c>
      <c r="C188">
        <v>19395.810000000001</v>
      </c>
      <c r="D188" s="10">
        <f t="shared" si="6"/>
        <v>-1.8445570158347691E-2</v>
      </c>
    </row>
    <row r="189" spans="2:4" x14ac:dyDescent="0.3">
      <c r="B189" s="22">
        <v>41456</v>
      </c>
      <c r="C189">
        <v>19345.7</v>
      </c>
      <c r="D189" s="10">
        <f t="shared" si="6"/>
        <v>-2.5835476837523519E-3</v>
      </c>
    </row>
    <row r="190" spans="2:4" x14ac:dyDescent="0.3">
      <c r="B190" s="22">
        <v>41487</v>
      </c>
      <c r="C190">
        <v>18619.72</v>
      </c>
      <c r="D190" s="10">
        <f t="shared" si="6"/>
        <v>-3.7526685516678149E-2</v>
      </c>
    </row>
    <row r="191" spans="2:4" x14ac:dyDescent="0.3">
      <c r="B191" s="22">
        <v>41518</v>
      </c>
      <c r="C191">
        <v>19379.77</v>
      </c>
      <c r="D191" s="10">
        <f t="shared" si="6"/>
        <v>4.081962564420949E-2</v>
      </c>
    </row>
    <row r="192" spans="2:4" x14ac:dyDescent="0.3">
      <c r="B192" s="22">
        <v>41548</v>
      </c>
      <c r="C192">
        <v>21164.52</v>
      </c>
      <c r="D192" s="10">
        <f t="shared" si="6"/>
        <v>9.2093456217488656E-2</v>
      </c>
    </row>
    <row r="193" spans="2:4" x14ac:dyDescent="0.3">
      <c r="B193" s="22">
        <v>41579</v>
      </c>
      <c r="C193">
        <v>20791.93</v>
      </c>
      <c r="D193" s="10">
        <f t="shared" si="6"/>
        <v>-1.7604462562817447E-2</v>
      </c>
    </row>
    <row r="194" spans="2:4" x14ac:dyDescent="0.3">
      <c r="B194" s="22">
        <v>41609</v>
      </c>
      <c r="C194">
        <v>21170.68</v>
      </c>
      <c r="D194" s="10">
        <f t="shared" si="6"/>
        <v>1.8216202151507765E-2</v>
      </c>
    </row>
    <row r="195" spans="2:4" x14ac:dyDescent="0.3">
      <c r="B195" s="22">
        <v>41640</v>
      </c>
      <c r="C195">
        <v>20513.849999999999</v>
      </c>
      <c r="D195" s="10">
        <f t="shared" si="6"/>
        <v>-3.1025455960791093E-2</v>
      </c>
    </row>
    <row r="196" spans="2:4" x14ac:dyDescent="0.3">
      <c r="B196" s="22">
        <v>41671</v>
      </c>
      <c r="C196">
        <v>21120.12</v>
      </c>
      <c r="D196" s="10">
        <f t="shared" si="6"/>
        <v>2.9554179249628998E-2</v>
      </c>
    </row>
    <row r="197" spans="2:4" x14ac:dyDescent="0.3">
      <c r="B197" s="22">
        <v>41699</v>
      </c>
      <c r="C197">
        <v>22386.27</v>
      </c>
      <c r="D197" s="10">
        <f t="shared" ref="D197:D260" si="7">C197/C196-1</f>
        <v>5.9949943466230282E-2</v>
      </c>
    </row>
    <row r="198" spans="2:4" x14ac:dyDescent="0.3">
      <c r="B198" s="22">
        <v>41730</v>
      </c>
      <c r="C198">
        <v>22417.8</v>
      </c>
      <c r="D198" s="10">
        <f t="shared" si="7"/>
        <v>1.4084525917001933E-3</v>
      </c>
    </row>
    <row r="199" spans="2:4" x14ac:dyDescent="0.3">
      <c r="B199" s="22">
        <v>41760</v>
      </c>
      <c r="C199">
        <v>24217.34</v>
      </c>
      <c r="D199" s="10">
        <f t="shared" si="7"/>
        <v>8.0272818920679168E-2</v>
      </c>
    </row>
    <row r="200" spans="2:4" x14ac:dyDescent="0.3">
      <c r="B200" s="22">
        <v>41791</v>
      </c>
      <c r="C200">
        <v>25413.78</v>
      </c>
      <c r="D200" s="10">
        <f t="shared" si="7"/>
        <v>4.9404269833102976E-2</v>
      </c>
    </row>
    <row r="201" spans="2:4" x14ac:dyDescent="0.3">
      <c r="B201" s="22">
        <v>41821</v>
      </c>
      <c r="C201">
        <v>25894.97</v>
      </c>
      <c r="D201" s="10">
        <f t="shared" si="7"/>
        <v>1.8934216004073523E-2</v>
      </c>
    </row>
    <row r="202" spans="2:4" x14ac:dyDescent="0.3">
      <c r="B202" s="22">
        <v>41852</v>
      </c>
      <c r="C202">
        <v>26638.11</v>
      </c>
      <c r="D202" s="10">
        <f t="shared" si="7"/>
        <v>2.8698237534162008E-2</v>
      </c>
    </row>
    <row r="203" spans="2:4" x14ac:dyDescent="0.3">
      <c r="B203" s="22">
        <v>41883</v>
      </c>
      <c r="C203">
        <v>26630.51</v>
      </c>
      <c r="D203" s="10">
        <f t="shared" si="7"/>
        <v>-2.8530552655581243E-4</v>
      </c>
    </row>
    <row r="204" spans="2:4" x14ac:dyDescent="0.3">
      <c r="B204" s="22">
        <v>41913</v>
      </c>
      <c r="C204">
        <v>27865.83</v>
      </c>
      <c r="D204" s="10">
        <f t="shared" si="7"/>
        <v>4.6387395509887019E-2</v>
      </c>
    </row>
    <row r="205" spans="2:4" x14ac:dyDescent="0.3">
      <c r="B205" s="22">
        <v>41944</v>
      </c>
      <c r="C205">
        <v>28693.99</v>
      </c>
      <c r="D205" s="10">
        <f t="shared" si="7"/>
        <v>2.9719552584652975E-2</v>
      </c>
    </row>
    <row r="206" spans="2:4" x14ac:dyDescent="0.3">
      <c r="B206" s="22">
        <v>41974</v>
      </c>
      <c r="C206">
        <v>27499.42</v>
      </c>
      <c r="D206" s="10">
        <f t="shared" si="7"/>
        <v>-4.163136601079187E-2</v>
      </c>
    </row>
    <row r="207" spans="2:4" x14ac:dyDescent="0.3">
      <c r="B207" s="22">
        <v>42005</v>
      </c>
      <c r="C207">
        <v>29182.95</v>
      </c>
      <c r="D207" s="10">
        <f t="shared" si="7"/>
        <v>6.1220563924621052E-2</v>
      </c>
    </row>
    <row r="208" spans="2:4" x14ac:dyDescent="0.3">
      <c r="B208" s="22">
        <v>42036</v>
      </c>
      <c r="C208">
        <v>29361.5</v>
      </c>
      <c r="D208" s="10">
        <f t="shared" si="7"/>
        <v>6.1182985270509249E-3</v>
      </c>
    </row>
    <row r="209" spans="2:4" x14ac:dyDescent="0.3">
      <c r="B209" s="22">
        <v>42064</v>
      </c>
      <c r="C209">
        <v>27957.49</v>
      </c>
      <c r="D209" s="10">
        <f t="shared" si="7"/>
        <v>-4.7818061066362327E-2</v>
      </c>
    </row>
    <row r="210" spans="2:4" x14ac:dyDescent="0.3">
      <c r="B210" s="22">
        <v>42095</v>
      </c>
      <c r="C210">
        <v>27011.31</v>
      </c>
      <c r="D210" s="10">
        <f t="shared" si="7"/>
        <v>-3.3843524579638573E-2</v>
      </c>
    </row>
    <row r="211" spans="2:4" x14ac:dyDescent="0.3">
      <c r="B211" s="22">
        <v>42125</v>
      </c>
      <c r="C211">
        <v>27828.44</v>
      </c>
      <c r="D211" s="10">
        <f t="shared" si="7"/>
        <v>3.0251402097861924E-2</v>
      </c>
    </row>
    <row r="212" spans="2:4" x14ac:dyDescent="0.3">
      <c r="B212" s="22">
        <v>42156</v>
      </c>
      <c r="C212">
        <v>27780.83</v>
      </c>
      <c r="D212" s="10">
        <f t="shared" si="7"/>
        <v>-1.7108397021176058E-3</v>
      </c>
    </row>
    <row r="213" spans="2:4" x14ac:dyDescent="0.3">
      <c r="B213" s="22">
        <v>42186</v>
      </c>
      <c r="C213">
        <v>28114.560000000001</v>
      </c>
      <c r="D213" s="10">
        <f t="shared" si="7"/>
        <v>1.2012960015953533E-2</v>
      </c>
    </row>
    <row r="214" spans="2:4" x14ac:dyDescent="0.3">
      <c r="B214" s="22">
        <v>42217</v>
      </c>
      <c r="C214">
        <v>26283.09</v>
      </c>
      <c r="D214" s="10">
        <f t="shared" si="7"/>
        <v>-6.5143114457419937E-2</v>
      </c>
    </row>
    <row r="215" spans="2:4" x14ac:dyDescent="0.3">
      <c r="B215" s="22">
        <v>42248</v>
      </c>
      <c r="C215">
        <v>26154.83</v>
      </c>
      <c r="D215" s="10">
        <f t="shared" si="7"/>
        <v>-4.8799437204680718E-3</v>
      </c>
    </row>
    <row r="216" spans="2:4" x14ac:dyDescent="0.3">
      <c r="B216" s="22">
        <v>42278</v>
      </c>
      <c r="C216">
        <v>26656.83</v>
      </c>
      <c r="D216" s="10">
        <f t="shared" si="7"/>
        <v>1.9193395636675881E-2</v>
      </c>
    </row>
    <row r="217" spans="2:4" x14ac:dyDescent="0.3">
      <c r="B217" s="22">
        <v>42309</v>
      </c>
      <c r="C217">
        <v>26145.67</v>
      </c>
      <c r="D217" s="10">
        <f t="shared" si="7"/>
        <v>-1.9175573389634271E-2</v>
      </c>
    </row>
    <row r="218" spans="2:4" x14ac:dyDescent="0.3">
      <c r="B218" s="22">
        <v>42339</v>
      </c>
      <c r="C218">
        <v>26117.54</v>
      </c>
      <c r="D218" s="10">
        <f t="shared" si="7"/>
        <v>-1.0758951673449646E-3</v>
      </c>
    </row>
    <row r="219" spans="2:4" x14ac:dyDescent="0.3">
      <c r="B219" s="22">
        <v>42370</v>
      </c>
      <c r="C219">
        <v>24870.69</v>
      </c>
      <c r="D219" s="10">
        <f t="shared" si="7"/>
        <v>-4.7739947943029937E-2</v>
      </c>
    </row>
    <row r="220" spans="2:4" x14ac:dyDescent="0.3">
      <c r="B220" s="22">
        <v>42401</v>
      </c>
      <c r="C220">
        <v>23002</v>
      </c>
      <c r="D220" s="10">
        <f t="shared" si="7"/>
        <v>-7.5136234660156176E-2</v>
      </c>
    </row>
    <row r="221" spans="2:4" x14ac:dyDescent="0.3">
      <c r="B221" s="22">
        <v>42430</v>
      </c>
      <c r="C221">
        <v>25341.86</v>
      </c>
      <c r="D221" s="10">
        <f t="shared" si="7"/>
        <v>0.1017241978958352</v>
      </c>
    </row>
    <row r="222" spans="2:4" x14ac:dyDescent="0.3">
      <c r="B222" s="22">
        <v>42461</v>
      </c>
      <c r="C222">
        <v>25606.62</v>
      </c>
      <c r="D222" s="10">
        <f t="shared" si="7"/>
        <v>1.0447536210838493E-2</v>
      </c>
    </row>
    <row r="223" spans="2:4" x14ac:dyDescent="0.3">
      <c r="B223" s="22">
        <v>42491</v>
      </c>
      <c r="C223">
        <v>26667.96</v>
      </c>
      <c r="D223" s="10">
        <f t="shared" si="7"/>
        <v>4.1447875588422001E-2</v>
      </c>
    </row>
    <row r="224" spans="2:4" x14ac:dyDescent="0.3">
      <c r="B224" s="22">
        <v>42522</v>
      </c>
      <c r="C224">
        <v>26999.72</v>
      </c>
      <c r="D224" s="10">
        <f t="shared" si="7"/>
        <v>1.2440396640762907E-2</v>
      </c>
    </row>
    <row r="225" spans="2:4" x14ac:dyDescent="0.3">
      <c r="B225" s="22">
        <v>42552</v>
      </c>
      <c r="C225">
        <v>28051.86</v>
      </c>
      <c r="D225" s="10">
        <f t="shared" si="7"/>
        <v>3.8968552266468004E-2</v>
      </c>
    </row>
    <row r="226" spans="2:4" x14ac:dyDescent="0.3">
      <c r="B226" s="22">
        <v>42583</v>
      </c>
      <c r="C226">
        <v>28452.17</v>
      </c>
      <c r="D226" s="10">
        <f t="shared" si="7"/>
        <v>1.4270354978243693E-2</v>
      </c>
    </row>
    <row r="227" spans="2:4" x14ac:dyDescent="0.3">
      <c r="B227" s="22">
        <v>42614</v>
      </c>
      <c r="C227">
        <v>27865.96</v>
      </c>
      <c r="D227" s="10">
        <f t="shared" si="7"/>
        <v>-2.0603349410607263E-2</v>
      </c>
    </row>
    <row r="228" spans="2:4" x14ac:dyDescent="0.3">
      <c r="B228" s="22">
        <v>42644</v>
      </c>
      <c r="C228">
        <v>27930.21</v>
      </c>
      <c r="D228" s="10">
        <f t="shared" si="7"/>
        <v>2.3056804789787222E-3</v>
      </c>
    </row>
    <row r="229" spans="2:4" x14ac:dyDescent="0.3">
      <c r="B229" s="22">
        <v>42675</v>
      </c>
      <c r="C229">
        <v>26652.81</v>
      </c>
      <c r="D229" s="10">
        <f t="shared" si="7"/>
        <v>-4.5735424116037704E-2</v>
      </c>
    </row>
    <row r="230" spans="2:4" x14ac:dyDescent="0.3">
      <c r="B230" s="22">
        <v>42705</v>
      </c>
      <c r="C230">
        <v>26626.46</v>
      </c>
      <c r="D230" s="10">
        <f t="shared" si="7"/>
        <v>-9.8863872139565157E-4</v>
      </c>
    </row>
    <row r="231" spans="2:4" x14ac:dyDescent="0.3">
      <c r="B231" s="22">
        <v>42736</v>
      </c>
      <c r="C231">
        <v>27655.96</v>
      </c>
      <c r="D231" s="10">
        <f t="shared" si="7"/>
        <v>3.8664546469939998E-2</v>
      </c>
    </row>
    <row r="232" spans="2:4" x14ac:dyDescent="0.3">
      <c r="B232" s="22">
        <v>42767</v>
      </c>
      <c r="C232">
        <v>28743.32</v>
      </c>
      <c r="D232" s="10">
        <f t="shared" si="7"/>
        <v>3.931738402861451E-2</v>
      </c>
    </row>
    <row r="233" spans="2:4" x14ac:dyDescent="0.3">
      <c r="B233" s="22">
        <v>42795</v>
      </c>
      <c r="C233">
        <v>29620.5</v>
      </c>
      <c r="D233" s="10">
        <f t="shared" si="7"/>
        <v>3.0517699416768851E-2</v>
      </c>
    </row>
    <row r="234" spans="2:4" x14ac:dyDescent="0.3">
      <c r="B234" s="22">
        <v>42826</v>
      </c>
      <c r="C234">
        <v>29918.400000000001</v>
      </c>
      <c r="D234" s="10">
        <f t="shared" si="7"/>
        <v>1.0057223882108834E-2</v>
      </c>
    </row>
    <row r="235" spans="2:4" x14ac:dyDescent="0.3">
      <c r="B235" s="22">
        <v>42856</v>
      </c>
      <c r="C235">
        <v>31145.8</v>
      </c>
      <c r="D235" s="10">
        <f t="shared" si="7"/>
        <v>4.1024921118776314E-2</v>
      </c>
    </row>
    <row r="236" spans="2:4" x14ac:dyDescent="0.3">
      <c r="B236" s="22">
        <v>42887</v>
      </c>
      <c r="C236">
        <v>30921.61</v>
      </c>
      <c r="D236" s="10">
        <f t="shared" si="7"/>
        <v>-7.1980812822274309E-3</v>
      </c>
    </row>
    <row r="237" spans="2:4" x14ac:dyDescent="0.3">
      <c r="B237" s="22">
        <v>42917</v>
      </c>
      <c r="C237">
        <v>32514.94</v>
      </c>
      <c r="D237" s="10">
        <f t="shared" si="7"/>
        <v>5.1528041392411295E-2</v>
      </c>
    </row>
    <row r="238" spans="2:4" x14ac:dyDescent="0.3">
      <c r="B238" s="22">
        <v>42948</v>
      </c>
      <c r="C238">
        <v>31730.49</v>
      </c>
      <c r="D238" s="10">
        <f t="shared" si="7"/>
        <v>-2.4125832617252208E-2</v>
      </c>
    </row>
    <row r="239" spans="2:4" x14ac:dyDescent="0.3">
      <c r="B239" s="22">
        <v>42979</v>
      </c>
      <c r="C239">
        <v>31283.72</v>
      </c>
      <c r="D239" s="10">
        <f t="shared" si="7"/>
        <v>-1.4080148147727956E-2</v>
      </c>
    </row>
    <row r="240" spans="2:4" x14ac:dyDescent="0.3">
      <c r="B240" s="22">
        <v>43009</v>
      </c>
      <c r="C240">
        <v>33213.129999999997</v>
      </c>
      <c r="D240" s="10">
        <f t="shared" si="7"/>
        <v>6.1674570671262696E-2</v>
      </c>
    </row>
    <row r="241" spans="2:4" x14ac:dyDescent="0.3">
      <c r="B241" s="22">
        <v>43040</v>
      </c>
      <c r="C241">
        <v>33149.35</v>
      </c>
      <c r="D241" s="10">
        <f t="shared" si="7"/>
        <v>-1.9203248835625297E-3</v>
      </c>
    </row>
    <row r="242" spans="2:4" x14ac:dyDescent="0.3">
      <c r="B242" s="22">
        <v>43070</v>
      </c>
      <c r="C242">
        <v>34056.83</v>
      </c>
      <c r="D242" s="10">
        <f t="shared" si="7"/>
        <v>2.7375499067100906E-2</v>
      </c>
    </row>
    <row r="243" spans="2:4" x14ac:dyDescent="0.3">
      <c r="B243" s="22">
        <v>43101</v>
      </c>
      <c r="C243">
        <v>35965.019999999997</v>
      </c>
      <c r="D243" s="10">
        <f t="shared" si="7"/>
        <v>5.6029583493237389E-2</v>
      </c>
    </row>
    <row r="244" spans="2:4" x14ac:dyDescent="0.3">
      <c r="B244" s="22">
        <v>43132</v>
      </c>
      <c r="C244">
        <v>34184.04</v>
      </c>
      <c r="D244" s="10">
        <f t="shared" si="7"/>
        <v>-4.9519783389526673E-2</v>
      </c>
    </row>
    <row r="245" spans="2:4" x14ac:dyDescent="0.3">
      <c r="B245" s="22">
        <v>43160</v>
      </c>
      <c r="C245">
        <v>32968.68</v>
      </c>
      <c r="D245" s="10">
        <f t="shared" si="7"/>
        <v>-3.5553433707660065E-2</v>
      </c>
    </row>
    <row r="246" spans="2:4" x14ac:dyDescent="0.3">
      <c r="B246" s="22">
        <v>43191</v>
      </c>
      <c r="C246">
        <v>35160.36</v>
      </c>
      <c r="D246" s="10">
        <f t="shared" si="7"/>
        <v>6.6477638777166614E-2</v>
      </c>
    </row>
    <row r="247" spans="2:4" x14ac:dyDescent="0.3">
      <c r="B247" s="22">
        <v>43221</v>
      </c>
      <c r="C247">
        <v>35322.379999999997</v>
      </c>
      <c r="D247" s="10">
        <f t="shared" si="7"/>
        <v>4.6080301794406697E-3</v>
      </c>
    </row>
    <row r="248" spans="2:4" x14ac:dyDescent="0.3">
      <c r="B248" s="22">
        <v>43252</v>
      </c>
      <c r="C248">
        <v>35423.480000000003</v>
      </c>
      <c r="D248" s="10">
        <f t="shared" si="7"/>
        <v>2.8622080392093352E-3</v>
      </c>
    </row>
    <row r="249" spans="2:4" x14ac:dyDescent="0.3">
      <c r="B249" s="22">
        <v>43282</v>
      </c>
      <c r="C249">
        <v>37606.58</v>
      </c>
      <c r="D249" s="10">
        <f t="shared" si="7"/>
        <v>6.1628614692853301E-2</v>
      </c>
    </row>
    <row r="250" spans="2:4" x14ac:dyDescent="0.3">
      <c r="B250" s="22">
        <v>43313</v>
      </c>
      <c r="C250">
        <v>38645.07</v>
      </c>
      <c r="D250" s="10">
        <f t="shared" si="7"/>
        <v>2.7614582341707106E-2</v>
      </c>
    </row>
    <row r="251" spans="2:4" x14ac:dyDescent="0.3">
      <c r="B251" s="22">
        <v>43344</v>
      </c>
      <c r="C251">
        <v>36227.14</v>
      </c>
      <c r="D251" s="10">
        <f t="shared" si="7"/>
        <v>-6.2567618586277685E-2</v>
      </c>
    </row>
    <row r="252" spans="2:4" x14ac:dyDescent="0.3">
      <c r="B252" s="22">
        <v>43374</v>
      </c>
      <c r="C252">
        <v>34442.050000000003</v>
      </c>
      <c r="D252" s="10">
        <f t="shared" si="7"/>
        <v>-4.9274935863002023E-2</v>
      </c>
    </row>
    <row r="253" spans="2:4" x14ac:dyDescent="0.3">
      <c r="B253" s="22">
        <v>43405</v>
      </c>
      <c r="C253">
        <v>36194.300000000003</v>
      </c>
      <c r="D253" s="10">
        <f t="shared" si="7"/>
        <v>5.0875310848221833E-2</v>
      </c>
    </row>
    <row r="254" spans="2:4" x14ac:dyDescent="0.3">
      <c r="B254" s="22">
        <v>43435</v>
      </c>
      <c r="C254">
        <v>36068.33</v>
      </c>
      <c r="D254" s="10">
        <f t="shared" si="7"/>
        <v>-3.4803822701364728E-3</v>
      </c>
    </row>
    <row r="255" spans="2:4" x14ac:dyDescent="0.3">
      <c r="B255" s="22">
        <v>43466</v>
      </c>
      <c r="C255">
        <v>36256.69</v>
      </c>
      <c r="D255" s="10">
        <f t="shared" si="7"/>
        <v>5.2223099877370949E-3</v>
      </c>
    </row>
    <row r="256" spans="2:4" x14ac:dyDescent="0.3">
      <c r="B256" s="22">
        <v>43497</v>
      </c>
      <c r="C256">
        <v>35867.440000000002</v>
      </c>
      <c r="D256" s="10">
        <f t="shared" si="7"/>
        <v>-1.0735949696455971E-2</v>
      </c>
    </row>
    <row r="257" spans="2:4" x14ac:dyDescent="0.3">
      <c r="B257" s="22">
        <v>43525</v>
      </c>
      <c r="C257">
        <v>38672.910000000003</v>
      </c>
      <c r="D257" s="10">
        <f t="shared" si="7"/>
        <v>7.8217737312727076E-2</v>
      </c>
    </row>
    <row r="258" spans="2:4" x14ac:dyDescent="0.3">
      <c r="B258" s="22">
        <v>43556</v>
      </c>
      <c r="C258">
        <v>39031.550000000003</v>
      </c>
      <c r="D258" s="10">
        <f t="shared" si="7"/>
        <v>9.2736750350568276E-3</v>
      </c>
    </row>
    <row r="259" spans="2:4" x14ac:dyDescent="0.3">
      <c r="B259" s="22">
        <v>43586</v>
      </c>
      <c r="C259">
        <v>39714.199999999997</v>
      </c>
      <c r="D259" s="10">
        <f t="shared" si="7"/>
        <v>1.7489697437073293E-2</v>
      </c>
    </row>
    <row r="260" spans="2:4" x14ac:dyDescent="0.3">
      <c r="B260" s="22">
        <v>43617</v>
      </c>
      <c r="C260">
        <v>39394.639999999999</v>
      </c>
      <c r="D260" s="10">
        <f t="shared" si="7"/>
        <v>-8.0464921866737482E-3</v>
      </c>
    </row>
    <row r="261" spans="2:4" x14ac:dyDescent="0.3">
      <c r="B261" s="22">
        <v>43647</v>
      </c>
      <c r="C261">
        <v>37481.120000000003</v>
      </c>
      <c r="D261" s="10">
        <f t="shared" ref="D261:D324" si="8">C261/C260-1</f>
        <v>-4.8573105376771952E-2</v>
      </c>
    </row>
    <row r="262" spans="2:4" x14ac:dyDescent="0.3">
      <c r="B262" s="22">
        <v>43678</v>
      </c>
      <c r="C262">
        <v>37332.79</v>
      </c>
      <c r="D262" s="10">
        <f t="shared" si="8"/>
        <v>-3.9574591154160066E-3</v>
      </c>
    </row>
    <row r="263" spans="2:4" x14ac:dyDescent="0.3">
      <c r="B263" s="22">
        <v>43709</v>
      </c>
      <c r="C263">
        <v>38667.33</v>
      </c>
      <c r="D263" s="10">
        <f t="shared" si="8"/>
        <v>3.5747127391229094E-2</v>
      </c>
    </row>
    <row r="264" spans="2:4" x14ac:dyDescent="0.3">
      <c r="B264" s="22">
        <v>43739</v>
      </c>
      <c r="C264">
        <v>40129.050000000003</v>
      </c>
      <c r="D264" s="10">
        <f t="shared" si="8"/>
        <v>3.7802454940643715E-2</v>
      </c>
    </row>
    <row r="265" spans="2:4" x14ac:dyDescent="0.3">
      <c r="B265" s="22">
        <v>43770</v>
      </c>
      <c r="C265">
        <v>40793.81</v>
      </c>
      <c r="D265" s="10">
        <f t="shared" si="8"/>
        <v>1.6565555376965024E-2</v>
      </c>
    </row>
    <row r="266" spans="2:4" x14ac:dyDescent="0.3">
      <c r="B266" s="22">
        <v>43800</v>
      </c>
      <c r="C266">
        <v>41253.74</v>
      </c>
      <c r="D266" s="10">
        <f t="shared" si="8"/>
        <v>1.127450463685542E-2</v>
      </c>
    </row>
    <row r="267" spans="2:4" x14ac:dyDescent="0.3">
      <c r="B267" s="22">
        <v>43831</v>
      </c>
      <c r="C267">
        <v>40723.49</v>
      </c>
      <c r="D267" s="10">
        <f t="shared" si="8"/>
        <v>-1.285338008141812E-2</v>
      </c>
    </row>
    <row r="268" spans="2:4" x14ac:dyDescent="0.3">
      <c r="B268" s="22">
        <v>43862</v>
      </c>
      <c r="C268">
        <v>38297.29</v>
      </c>
      <c r="D268" s="10">
        <f t="shared" si="8"/>
        <v>-5.957740851778659E-2</v>
      </c>
    </row>
    <row r="269" spans="2:4" x14ac:dyDescent="0.3">
      <c r="B269" s="22">
        <v>43891</v>
      </c>
      <c r="C269">
        <v>29468.49</v>
      </c>
      <c r="D269" s="10">
        <f t="shared" si="8"/>
        <v>-0.23053328316442234</v>
      </c>
    </row>
    <row r="270" spans="2:4" x14ac:dyDescent="0.3">
      <c r="B270" s="22">
        <v>43922</v>
      </c>
      <c r="C270">
        <v>33717.620000000003</v>
      </c>
      <c r="D270" s="10">
        <f t="shared" si="8"/>
        <v>0.14419232203618182</v>
      </c>
    </row>
    <row r="271" spans="2:4" x14ac:dyDescent="0.3">
      <c r="B271" s="22">
        <v>43952</v>
      </c>
      <c r="C271">
        <v>32424.1</v>
      </c>
      <c r="D271" s="10">
        <f t="shared" si="8"/>
        <v>-3.8363324576289881E-2</v>
      </c>
    </row>
    <row r="272" spans="2:4" x14ac:dyDescent="0.3">
      <c r="B272" s="22">
        <v>43983</v>
      </c>
      <c r="C272">
        <v>34915.800000000003</v>
      </c>
      <c r="D272" s="10">
        <f t="shared" si="8"/>
        <v>7.6847159982852409E-2</v>
      </c>
    </row>
    <row r="273" spans="2:4" x14ac:dyDescent="0.3">
      <c r="B273" s="22">
        <v>44013</v>
      </c>
      <c r="C273">
        <v>37606.89</v>
      </c>
      <c r="D273" s="10">
        <f t="shared" si="8"/>
        <v>7.7073703022700224E-2</v>
      </c>
    </row>
    <row r="274" spans="2:4" x14ac:dyDescent="0.3">
      <c r="B274" s="22">
        <v>44044</v>
      </c>
      <c r="C274">
        <v>38628.29</v>
      </c>
      <c r="D274" s="10">
        <f t="shared" si="8"/>
        <v>2.7159916706752441E-2</v>
      </c>
    </row>
    <row r="275" spans="2:4" x14ac:dyDescent="0.3">
      <c r="B275" s="22">
        <v>44075</v>
      </c>
      <c r="C275">
        <v>38067.93</v>
      </c>
      <c r="D275" s="10">
        <f t="shared" si="8"/>
        <v>-1.4506466633651183E-2</v>
      </c>
    </row>
    <row r="276" spans="2:4" x14ac:dyDescent="0.3">
      <c r="B276" s="22">
        <v>44105</v>
      </c>
      <c r="C276">
        <v>39614.07</v>
      </c>
      <c r="D276" s="10">
        <f t="shared" si="8"/>
        <v>4.061528956263194E-2</v>
      </c>
    </row>
    <row r="277" spans="2:4" x14ac:dyDescent="0.3">
      <c r="B277" s="22">
        <v>44136</v>
      </c>
      <c r="C277">
        <v>44149.72</v>
      </c>
      <c r="D277" s="10">
        <f t="shared" si="8"/>
        <v>0.11449593540880798</v>
      </c>
    </row>
    <row r="278" spans="2:4" x14ac:dyDescent="0.3">
      <c r="B278" s="22">
        <v>44166</v>
      </c>
      <c r="C278">
        <v>47751.33</v>
      </c>
      <c r="D278" s="10">
        <f t="shared" si="8"/>
        <v>8.15771878054945E-2</v>
      </c>
    </row>
    <row r="279" spans="2:4" x14ac:dyDescent="0.3">
      <c r="B279" s="22">
        <v>44197</v>
      </c>
      <c r="C279">
        <v>46285.77</v>
      </c>
      <c r="D279" s="10">
        <f t="shared" si="8"/>
        <v>-3.0691501158187751E-2</v>
      </c>
    </row>
    <row r="280" spans="2:4" x14ac:dyDescent="0.3">
      <c r="B280" s="22">
        <v>44228</v>
      </c>
      <c r="C280">
        <v>49099.99</v>
      </c>
      <c r="D280" s="10">
        <f t="shared" si="8"/>
        <v>6.0800976196355938E-2</v>
      </c>
    </row>
    <row r="281" spans="2:4" x14ac:dyDescent="0.3">
      <c r="B281" s="22">
        <v>44256</v>
      </c>
      <c r="C281">
        <v>49509.15</v>
      </c>
      <c r="D281" s="10">
        <f t="shared" si="8"/>
        <v>8.3331992531974208E-3</v>
      </c>
    </row>
    <row r="282" spans="2:4" x14ac:dyDescent="0.3">
      <c r="B282" s="22">
        <v>44287</v>
      </c>
      <c r="C282">
        <v>48782.36</v>
      </c>
      <c r="D282" s="10">
        <f t="shared" si="8"/>
        <v>-1.4679912703005393E-2</v>
      </c>
    </row>
    <row r="283" spans="2:4" x14ac:dyDescent="0.3">
      <c r="B283" s="22">
        <v>44317</v>
      </c>
      <c r="C283">
        <v>51937.440000000002</v>
      </c>
      <c r="D283" s="10">
        <f t="shared" si="8"/>
        <v>6.4676657709877183E-2</v>
      </c>
    </row>
    <row r="284" spans="2:4" x14ac:dyDescent="0.3">
      <c r="B284" s="22">
        <v>44348</v>
      </c>
      <c r="C284">
        <v>52482.71</v>
      </c>
      <c r="D284" s="10">
        <f t="shared" si="8"/>
        <v>1.0498592152404784E-2</v>
      </c>
    </row>
    <row r="285" spans="2:4" x14ac:dyDescent="0.3">
      <c r="B285" s="22">
        <v>44378</v>
      </c>
      <c r="C285">
        <v>52586.84</v>
      </c>
      <c r="D285" s="10">
        <f t="shared" si="8"/>
        <v>1.9840819957657185E-3</v>
      </c>
    </row>
    <row r="286" spans="2:4" x14ac:dyDescent="0.3">
      <c r="B286" s="22">
        <v>44409</v>
      </c>
      <c r="C286">
        <v>57552.39</v>
      </c>
      <c r="D286" s="10">
        <f t="shared" si="8"/>
        <v>9.4425715635318763E-2</v>
      </c>
    </row>
    <row r="287" spans="2:4" x14ac:dyDescent="0.3">
      <c r="B287" s="22">
        <v>44440</v>
      </c>
      <c r="C287">
        <v>59126.36</v>
      </c>
      <c r="D287" s="10">
        <f t="shared" si="8"/>
        <v>2.7348473277999386E-2</v>
      </c>
    </row>
    <row r="288" spans="2:4" x14ac:dyDescent="0.3">
      <c r="B288" s="22">
        <v>44470</v>
      </c>
      <c r="C288">
        <v>59306.93</v>
      </c>
      <c r="D288" s="10">
        <f t="shared" si="8"/>
        <v>3.0539678072520893E-3</v>
      </c>
    </row>
    <row r="289" spans="2:4" x14ac:dyDescent="0.3">
      <c r="B289" s="22">
        <v>44501</v>
      </c>
      <c r="C289">
        <v>57064.87</v>
      </c>
      <c r="D289" s="10">
        <f t="shared" si="8"/>
        <v>-3.7804351026094252E-2</v>
      </c>
    </row>
    <row r="290" spans="2:4" x14ac:dyDescent="0.3">
      <c r="B290" s="22">
        <v>44531</v>
      </c>
      <c r="C290">
        <v>58253.82</v>
      </c>
      <c r="D290" s="10">
        <f t="shared" si="8"/>
        <v>2.0835060169242414E-2</v>
      </c>
    </row>
    <row r="291" spans="2:4" x14ac:dyDescent="0.3">
      <c r="B291" s="22">
        <v>44562</v>
      </c>
      <c r="C291">
        <v>58014.17</v>
      </c>
      <c r="D291" s="10">
        <f t="shared" si="8"/>
        <v>-4.113893303477778E-3</v>
      </c>
    </row>
    <row r="292" spans="2:4" x14ac:dyDescent="0.3">
      <c r="B292" s="22">
        <v>44593</v>
      </c>
      <c r="C292">
        <v>56247.28</v>
      </c>
      <c r="D292" s="10">
        <f t="shared" si="8"/>
        <v>-3.0456179929834404E-2</v>
      </c>
    </row>
    <row r="293" spans="2:4" x14ac:dyDescent="0.3">
      <c r="B293" s="22">
        <v>44621</v>
      </c>
      <c r="C293">
        <v>58568.51</v>
      </c>
      <c r="D293" s="10">
        <f t="shared" si="8"/>
        <v>4.1268306663006626E-2</v>
      </c>
    </row>
    <row r="294" spans="2:4" x14ac:dyDescent="0.3">
      <c r="B294" s="22">
        <v>44652</v>
      </c>
      <c r="C294">
        <v>57060.87</v>
      </c>
      <c r="D294" s="10">
        <f t="shared" si="8"/>
        <v>-2.5741477800954815E-2</v>
      </c>
    </row>
    <row r="295" spans="2:4" x14ac:dyDescent="0.3">
      <c r="B295" s="22">
        <v>44682</v>
      </c>
      <c r="C295">
        <v>55566.41</v>
      </c>
      <c r="D295" s="10">
        <f t="shared" si="8"/>
        <v>-2.6190627657797672E-2</v>
      </c>
    </row>
    <row r="296" spans="2:4" x14ac:dyDescent="0.3">
      <c r="B296" s="22">
        <v>44713</v>
      </c>
      <c r="C296">
        <v>53018.94</v>
      </c>
      <c r="D296" s="10">
        <f t="shared" si="8"/>
        <v>-4.5845502705681329E-2</v>
      </c>
    </row>
    <row r="297" spans="2:4" x14ac:dyDescent="0.3">
      <c r="B297" s="22">
        <v>44743</v>
      </c>
      <c r="C297">
        <v>57570.25</v>
      </c>
      <c r="D297" s="10">
        <f t="shared" si="8"/>
        <v>8.5843096825398479E-2</v>
      </c>
    </row>
    <row r="298" spans="2:4" x14ac:dyDescent="0.3">
      <c r="B298" s="22">
        <v>44774</v>
      </c>
      <c r="C298">
        <v>59537.07</v>
      </c>
      <c r="D298" s="10">
        <f t="shared" si="8"/>
        <v>3.4163825934401926E-2</v>
      </c>
    </row>
    <row r="299" spans="2:4" x14ac:dyDescent="0.3">
      <c r="B299" s="22">
        <v>44805</v>
      </c>
      <c r="C299">
        <v>57426.92</v>
      </c>
      <c r="D299" s="10">
        <f t="shared" si="8"/>
        <v>-3.5442624233943731E-2</v>
      </c>
    </row>
    <row r="300" spans="2:4" x14ac:dyDescent="0.3">
      <c r="B300" s="22">
        <v>44835</v>
      </c>
      <c r="C300">
        <v>60746.59</v>
      </c>
      <c r="D300" s="10">
        <f t="shared" si="8"/>
        <v>5.7806861311733293E-2</v>
      </c>
    </row>
    <row r="301" spans="2:4" x14ac:dyDescent="0.3">
      <c r="B301" s="22">
        <v>44866</v>
      </c>
      <c r="C301">
        <v>63099.65</v>
      </c>
      <c r="D301" s="10">
        <f t="shared" si="8"/>
        <v>3.8735672241026364E-2</v>
      </c>
    </row>
    <row r="302" spans="2:4" x14ac:dyDescent="0.3">
      <c r="B302" s="22">
        <v>44896</v>
      </c>
      <c r="C302">
        <v>60840.74</v>
      </c>
      <c r="D302" s="10">
        <f t="shared" si="8"/>
        <v>-3.5799089218403024E-2</v>
      </c>
    </row>
    <row r="303" spans="2:4" x14ac:dyDescent="0.3">
      <c r="B303" s="22">
        <v>44927</v>
      </c>
      <c r="C303">
        <v>59549.9</v>
      </c>
      <c r="D303" s="10">
        <f t="shared" si="8"/>
        <v>-2.1216704464804281E-2</v>
      </c>
    </row>
    <row r="304" spans="2:4" x14ac:dyDescent="0.3">
      <c r="B304" s="22">
        <v>44958</v>
      </c>
      <c r="C304">
        <v>58962.12</v>
      </c>
      <c r="D304" s="10">
        <f t="shared" si="8"/>
        <v>-9.8703776160833367E-3</v>
      </c>
    </row>
    <row r="305" spans="2:4" x14ac:dyDescent="0.3">
      <c r="B305" s="22">
        <v>44986</v>
      </c>
      <c r="C305">
        <v>58991.519999999997</v>
      </c>
      <c r="D305" s="10">
        <f t="shared" si="8"/>
        <v>4.9862521903887291E-4</v>
      </c>
    </row>
    <row r="306" spans="2:4" x14ac:dyDescent="0.3">
      <c r="B306" s="22">
        <v>45017</v>
      </c>
      <c r="C306">
        <v>61112.44</v>
      </c>
      <c r="D306" s="10">
        <f t="shared" si="8"/>
        <v>3.5952964087041739E-2</v>
      </c>
    </row>
    <row r="307" spans="2:4" x14ac:dyDescent="0.3">
      <c r="B307" s="22">
        <v>45047</v>
      </c>
      <c r="C307">
        <v>62622.239999999998</v>
      </c>
      <c r="D307" s="10">
        <f t="shared" si="8"/>
        <v>2.4705280954254061E-2</v>
      </c>
    </row>
    <row r="308" spans="2:4" x14ac:dyDescent="0.3">
      <c r="B308" s="22">
        <v>45078</v>
      </c>
      <c r="C308">
        <v>64718.559999999998</v>
      </c>
      <c r="D308" s="10">
        <f t="shared" si="8"/>
        <v>3.3475646990589913E-2</v>
      </c>
    </row>
    <row r="309" spans="2:4" x14ac:dyDescent="0.3">
      <c r="B309" s="22">
        <v>45108</v>
      </c>
      <c r="C309">
        <v>66527.67</v>
      </c>
      <c r="D309" s="10">
        <f t="shared" si="8"/>
        <v>2.7953495875062684E-2</v>
      </c>
    </row>
    <row r="310" spans="2:4" x14ac:dyDescent="0.3">
      <c r="B310" s="22">
        <v>45139</v>
      </c>
      <c r="C310">
        <v>64831.41</v>
      </c>
      <c r="D310" s="10">
        <f t="shared" si="8"/>
        <v>-2.5497060095445945E-2</v>
      </c>
    </row>
    <row r="311" spans="2:4" x14ac:dyDescent="0.3">
      <c r="B311" s="22">
        <v>45170</v>
      </c>
      <c r="C311">
        <v>65828.41</v>
      </c>
      <c r="D311" s="10">
        <f t="shared" si="8"/>
        <v>1.5378348242001794E-2</v>
      </c>
    </row>
    <row r="312" spans="2:4" x14ac:dyDescent="0.3">
      <c r="B312" s="22">
        <v>45200</v>
      </c>
      <c r="C312">
        <v>63874.93</v>
      </c>
      <c r="D312" s="10">
        <f t="shared" si="8"/>
        <v>-2.9675333188208586E-2</v>
      </c>
    </row>
    <row r="313" spans="2:4" x14ac:dyDescent="0.3">
      <c r="B313" s="22">
        <v>45231</v>
      </c>
      <c r="C313">
        <v>66988.44</v>
      </c>
      <c r="D313" s="10">
        <f t="shared" si="8"/>
        <v>4.8743849895412916E-2</v>
      </c>
    </row>
    <row r="314" spans="2:4" x14ac:dyDescent="0.3">
      <c r="B314" s="22">
        <v>45261</v>
      </c>
      <c r="C314">
        <v>72240.259999999995</v>
      </c>
      <c r="D314" s="10">
        <f t="shared" si="8"/>
        <v>7.8398899869887906E-2</v>
      </c>
    </row>
    <row r="315" spans="2:4" x14ac:dyDescent="0.3">
      <c r="B315" s="22">
        <v>45292</v>
      </c>
      <c r="C315">
        <v>71752.11</v>
      </c>
      <c r="D315" s="10">
        <f t="shared" si="8"/>
        <v>-6.7573123352545617E-3</v>
      </c>
    </row>
    <row r="316" spans="2:4" x14ac:dyDescent="0.3">
      <c r="B316" s="22">
        <v>45323</v>
      </c>
      <c r="C316">
        <v>72500.3</v>
      </c>
      <c r="D316" s="10">
        <f t="shared" si="8"/>
        <v>1.0427428545306983E-2</v>
      </c>
    </row>
    <row r="317" spans="2:4" x14ac:dyDescent="0.3">
      <c r="B317" s="22">
        <v>45352</v>
      </c>
      <c r="C317">
        <v>73651.350000000006</v>
      </c>
      <c r="D317" s="10">
        <f t="shared" si="8"/>
        <v>1.5876486028333803E-2</v>
      </c>
    </row>
    <row r="318" spans="2:4" x14ac:dyDescent="0.3">
      <c r="B318" s="22">
        <v>45383</v>
      </c>
      <c r="C318">
        <v>74482.78</v>
      </c>
      <c r="D318" s="10">
        <f t="shared" si="8"/>
        <v>1.1288727226316908E-2</v>
      </c>
    </row>
    <row r="319" spans="2:4" x14ac:dyDescent="0.3">
      <c r="B319" s="22">
        <v>45413</v>
      </c>
      <c r="C319">
        <v>73961.31</v>
      </c>
      <c r="D319" s="10">
        <f t="shared" si="8"/>
        <v>-7.0012155829843881E-3</v>
      </c>
    </row>
    <row r="320" spans="2:4" x14ac:dyDescent="0.3">
      <c r="B320" s="22">
        <v>45444</v>
      </c>
      <c r="C320">
        <v>79032.73</v>
      </c>
      <c r="D320" s="10">
        <f t="shared" si="8"/>
        <v>6.8568552936663751E-2</v>
      </c>
    </row>
    <row r="321" spans="2:4" x14ac:dyDescent="0.3">
      <c r="B321" s="22">
        <v>45474</v>
      </c>
      <c r="C321">
        <v>81741.34</v>
      </c>
      <c r="D321" s="10">
        <f t="shared" si="8"/>
        <v>3.427200351044446E-2</v>
      </c>
    </row>
    <row r="322" spans="2:4" x14ac:dyDescent="0.3">
      <c r="B322" s="22">
        <v>45505</v>
      </c>
      <c r="C322">
        <v>82365.77</v>
      </c>
      <c r="D322" s="10">
        <f t="shared" si="8"/>
        <v>7.6390966920778514E-3</v>
      </c>
    </row>
    <row r="323" spans="2:4" x14ac:dyDescent="0.3">
      <c r="B323" s="22">
        <v>45536</v>
      </c>
      <c r="C323">
        <v>84299.78</v>
      </c>
      <c r="D323" s="10">
        <f t="shared" si="8"/>
        <v>2.3480749345268004E-2</v>
      </c>
    </row>
    <row r="324" spans="2:4" x14ac:dyDescent="0.3">
      <c r="B324" s="22">
        <v>45566</v>
      </c>
      <c r="C324">
        <v>79389.06</v>
      </c>
      <c r="D324" s="10">
        <f t="shared" si="8"/>
        <v>-5.8253058311658723E-2</v>
      </c>
    </row>
    <row r="325" spans="2:4" x14ac:dyDescent="0.3">
      <c r="B325" s="22">
        <v>45597</v>
      </c>
      <c r="C325">
        <v>79802.789999999994</v>
      </c>
      <c r="D325" s="10">
        <f t="shared" ref="D325:D334" si="9">C325/C324-1</f>
        <v>5.2114233371700625E-3</v>
      </c>
    </row>
    <row r="326" spans="2:4" x14ac:dyDescent="0.3">
      <c r="B326" s="22">
        <v>45627</v>
      </c>
      <c r="C326">
        <v>78139.009999999995</v>
      </c>
      <c r="D326" s="10">
        <f t="shared" si="9"/>
        <v>-2.0848644514809611E-2</v>
      </c>
    </row>
    <row r="327" spans="2:4" x14ac:dyDescent="0.3">
      <c r="B327" s="22">
        <v>45658</v>
      </c>
      <c r="C327">
        <v>77500.570000000007</v>
      </c>
      <c r="D327" s="10">
        <f t="shared" si="9"/>
        <v>-8.1705667885987321E-3</v>
      </c>
    </row>
    <row r="328" spans="2:4" x14ac:dyDescent="0.3">
      <c r="B328" s="22">
        <v>45689</v>
      </c>
      <c r="C328">
        <v>73198.100000000006</v>
      </c>
      <c r="D328" s="10">
        <f t="shared" si="9"/>
        <v>-5.5515333629159169E-2</v>
      </c>
    </row>
    <row r="329" spans="2:4" x14ac:dyDescent="0.3">
      <c r="B329" s="22">
        <v>45717</v>
      </c>
      <c r="C329">
        <v>77414.92</v>
      </c>
      <c r="D329" s="10">
        <f t="shared" si="9"/>
        <v>5.760832589916931E-2</v>
      </c>
    </row>
    <row r="330" spans="2:4" x14ac:dyDescent="0.3">
      <c r="B330" s="22">
        <v>45748</v>
      </c>
      <c r="C330">
        <v>80242.240000000005</v>
      </c>
      <c r="D330" s="10">
        <f t="shared" si="9"/>
        <v>3.652164208139741E-2</v>
      </c>
    </row>
    <row r="331" spans="2:4" x14ac:dyDescent="0.3">
      <c r="B331" s="22">
        <v>45778</v>
      </c>
      <c r="C331">
        <v>81451.009999999995</v>
      </c>
      <c r="D331" s="10">
        <f t="shared" si="9"/>
        <v>1.5064011174164449E-2</v>
      </c>
    </row>
    <row r="332" spans="2:4" x14ac:dyDescent="0.3">
      <c r="B332" s="22">
        <v>45809</v>
      </c>
      <c r="C332">
        <v>83606.460000000006</v>
      </c>
      <c r="D332" s="10">
        <f t="shared" si="9"/>
        <v>2.6463146374735125E-2</v>
      </c>
    </row>
    <row r="333" spans="2:4" x14ac:dyDescent="0.3">
      <c r="B333" s="22">
        <v>45839</v>
      </c>
      <c r="C333">
        <v>81185.58</v>
      </c>
      <c r="D333" s="10">
        <f t="shared" si="9"/>
        <v>-2.89556572542361E-2</v>
      </c>
    </row>
    <row r="334" spans="2:4" x14ac:dyDescent="0.3">
      <c r="B334" s="22">
        <v>45870</v>
      </c>
      <c r="C334">
        <v>79809.649999999994</v>
      </c>
      <c r="D334" s="10">
        <f t="shared" si="9"/>
        <v>-1.6947960462929568E-2</v>
      </c>
    </row>
    <row r="336" spans="2:4" x14ac:dyDescent="0.3">
      <c r="B336" s="24" t="s">
        <v>135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0D84-668D-4B3D-B8D9-5085E115F0B5}">
  <dimension ref="B2:N334"/>
  <sheetViews>
    <sheetView showGridLines="0" topLeftCell="D5" workbookViewId="0">
      <selection activeCell="T25" sqref="T25"/>
    </sheetView>
  </sheetViews>
  <sheetFormatPr defaultRowHeight="14.4" x14ac:dyDescent="0.3"/>
  <cols>
    <col min="1" max="1" width="1.88671875" customWidth="1"/>
    <col min="2" max="2" width="10.33203125" style="2" bestFit="1" customWidth="1"/>
    <col min="7" max="7" width="10.88671875" customWidth="1"/>
    <col min="9" max="9" width="11" bestFit="1" customWidth="1"/>
    <col min="10" max="10" width="22.21875" bestFit="1" customWidth="1"/>
    <col min="12" max="12" width="13.33203125" bestFit="1" customWidth="1"/>
    <col min="13" max="13" width="7.88671875" bestFit="1" customWidth="1"/>
  </cols>
  <sheetData>
    <row r="2" spans="2:14" x14ac:dyDescent="0.3">
      <c r="B2" s="6" t="s">
        <v>10</v>
      </c>
      <c r="C2" s="5" t="s">
        <v>4</v>
      </c>
      <c r="D2" s="5" t="s">
        <v>9</v>
      </c>
      <c r="E2" s="5" t="s">
        <v>2</v>
      </c>
      <c r="F2" s="5" t="s">
        <v>3</v>
      </c>
      <c r="G2" s="5" t="s">
        <v>11</v>
      </c>
      <c r="I2" s="7" t="s">
        <v>1</v>
      </c>
      <c r="J2" s="7" t="s">
        <v>123</v>
      </c>
    </row>
    <row r="3" spans="2:14" x14ac:dyDescent="0.3">
      <c r="B3" s="22">
        <v>45870</v>
      </c>
      <c r="C3" s="10">
        <v>6.5879999999999994E-2</v>
      </c>
      <c r="D3" s="10">
        <v>6.3780000000000003E-2</v>
      </c>
      <c r="E3" s="10">
        <v>6.6500000000000004E-2</v>
      </c>
      <c r="F3" s="10">
        <v>6.3070000000000001E-2</v>
      </c>
      <c r="G3" s="10">
        <v>3.32E-2</v>
      </c>
      <c r="I3" s="21">
        <v>1998</v>
      </c>
      <c r="J3" s="10">
        <f>AVERAGEIFS($C$3:$C$332,$B$3:$B$332,"&gt;="&amp;DATE(I3,1,1),$B$3:$B$332,"&lt;="&amp;DATE(I3,12,31))</f>
        <v>0.12149700000000001</v>
      </c>
    </row>
    <row r="4" spans="2:14" x14ac:dyDescent="0.3">
      <c r="B4" s="22">
        <v>45839</v>
      </c>
      <c r="C4" s="10">
        <v>6.3759999999999997E-2</v>
      </c>
      <c r="D4" s="10">
        <v>6.2899999999999998E-2</v>
      </c>
      <c r="E4" s="10">
        <v>6.3700000000000007E-2</v>
      </c>
      <c r="F4" s="10">
        <v>6.2800000000000009E-2</v>
      </c>
      <c r="G4" s="10">
        <v>9.4999999999999998E-3</v>
      </c>
      <c r="I4" s="1">
        <f>I3+1</f>
        <v>1999</v>
      </c>
      <c r="J4" s="10">
        <f t="shared" ref="J4:J29" si="0">AVERAGEIFS($C$3:$C$332,$B$3:$B$332,"&gt;="&amp;DATE(I4,1,1),$B$3:$B$332,"&lt;="&amp;DATE(I4,12,31))</f>
        <v>0.11739166666666667</v>
      </c>
      <c r="L4" s="5" t="s">
        <v>124</v>
      </c>
      <c r="M4" s="7" t="s">
        <v>125</v>
      </c>
      <c r="N4" s="12">
        <f>AVERAGE(J10:J29)</f>
        <v>7.4284375000000014E-2</v>
      </c>
    </row>
    <row r="5" spans="2:14" x14ac:dyDescent="0.3">
      <c r="B5" s="22">
        <v>45809</v>
      </c>
      <c r="C5" s="10">
        <v>6.3159999999999994E-2</v>
      </c>
      <c r="D5" s="10">
        <v>6.2199999999999998E-2</v>
      </c>
      <c r="E5" s="10">
        <v>6.3099999999999989E-2</v>
      </c>
      <c r="F5" s="10">
        <v>6.1799999999999994E-2</v>
      </c>
      <c r="G5" s="10">
        <v>1.7100000000000001E-2</v>
      </c>
      <c r="I5" s="1">
        <f t="shared" ref="I5:I29" si="1">I4+1</f>
        <v>2000</v>
      </c>
      <c r="J5" s="10">
        <f t="shared" si="0"/>
        <v>0.11044916666666667</v>
      </c>
      <c r="L5" s="26"/>
      <c r="M5" s="26"/>
      <c r="N5" s="26"/>
    </row>
    <row r="6" spans="2:14" x14ac:dyDescent="0.3">
      <c r="B6" s="22">
        <v>45778</v>
      </c>
      <c r="C6" s="10">
        <v>6.2100000000000002E-2</v>
      </c>
      <c r="D6" s="10">
        <v>6.3500000000000001E-2</v>
      </c>
      <c r="E6" s="10">
        <v>6.3899999999999998E-2</v>
      </c>
      <c r="F6" s="10">
        <v>6.1600000000000002E-2</v>
      </c>
      <c r="G6" s="10">
        <v>-2.24E-2</v>
      </c>
      <c r="I6" s="1">
        <f t="shared" si="1"/>
        <v>2001</v>
      </c>
      <c r="J6" s="10">
        <f t="shared" si="0"/>
        <v>9.3700833333333344E-2</v>
      </c>
      <c r="L6" s="5" t="s">
        <v>124</v>
      </c>
      <c r="M6" s="7" t="s">
        <v>118</v>
      </c>
      <c r="N6" s="12">
        <f>AVERAGE(J15:J29)</f>
        <v>7.411916666666668E-2</v>
      </c>
    </row>
    <row r="7" spans="2:14" x14ac:dyDescent="0.3">
      <c r="B7" s="22">
        <v>45748</v>
      </c>
      <c r="C7" s="10">
        <v>6.3520000000000007E-2</v>
      </c>
      <c r="D7" s="10">
        <v>6.5700000000000008E-2</v>
      </c>
      <c r="E7" s="10">
        <v>6.5700000000000008E-2</v>
      </c>
      <c r="F7" s="10">
        <v>6.3099999999999989E-2</v>
      </c>
      <c r="G7" s="10">
        <v>-3.32E-2</v>
      </c>
      <c r="I7" s="1">
        <f t="shared" si="1"/>
        <v>2002</v>
      </c>
      <c r="J7" s="10">
        <f t="shared" si="0"/>
        <v>7.1952500000000016E-2</v>
      </c>
      <c r="L7" s="26"/>
      <c r="M7" s="27"/>
      <c r="N7" s="26"/>
    </row>
    <row r="8" spans="2:14" x14ac:dyDescent="0.3">
      <c r="B8" s="22">
        <v>45717</v>
      </c>
      <c r="C8" s="10">
        <v>6.5700000000000008E-2</v>
      </c>
      <c r="D8" s="10">
        <v>6.7299999999999999E-2</v>
      </c>
      <c r="E8" s="10">
        <v>6.7400000000000002E-2</v>
      </c>
      <c r="F8" s="10">
        <v>6.5700000000000008E-2</v>
      </c>
      <c r="G8" s="10">
        <v>-2.23E-2</v>
      </c>
      <c r="I8" s="1">
        <f t="shared" si="1"/>
        <v>2003</v>
      </c>
      <c r="J8" s="10">
        <f t="shared" si="0"/>
        <v>5.6047500000000007E-2</v>
      </c>
      <c r="L8" s="5" t="s">
        <v>124</v>
      </c>
      <c r="M8" s="7" t="s">
        <v>119</v>
      </c>
      <c r="N8" s="12">
        <f>AVERAGE(J23:J29)</f>
        <v>6.8922261904761917E-2</v>
      </c>
    </row>
    <row r="9" spans="2:14" x14ac:dyDescent="0.3">
      <c r="B9" s="22">
        <v>45689</v>
      </c>
      <c r="C9" s="10">
        <v>6.7199999999999996E-2</v>
      </c>
      <c r="D9" s="10">
        <v>6.6600000000000006E-2</v>
      </c>
      <c r="E9" s="10">
        <v>6.7199999999999996E-2</v>
      </c>
      <c r="F9" s="10">
        <v>6.6500000000000004E-2</v>
      </c>
      <c r="G9" s="10">
        <v>4.4999999999999997E-3</v>
      </c>
      <c r="I9" s="1">
        <f t="shared" si="1"/>
        <v>2004</v>
      </c>
      <c r="J9" s="10">
        <f t="shared" si="0"/>
        <v>5.9314166666666675E-2</v>
      </c>
      <c r="L9" s="26"/>
      <c r="M9" s="27"/>
      <c r="N9" s="26"/>
    </row>
    <row r="10" spans="2:14" x14ac:dyDescent="0.3">
      <c r="B10" s="22">
        <v>45658</v>
      </c>
      <c r="C10" s="10">
        <v>6.6900000000000001E-2</v>
      </c>
      <c r="D10" s="10">
        <v>6.7799999999999999E-2</v>
      </c>
      <c r="E10" s="10">
        <v>6.8400000000000002E-2</v>
      </c>
      <c r="F10" s="10">
        <v>6.6699999999999995E-2</v>
      </c>
      <c r="G10" s="10">
        <v>-1.04E-2</v>
      </c>
      <c r="I10" s="1">
        <f t="shared" si="1"/>
        <v>2005</v>
      </c>
      <c r="J10" s="10">
        <f t="shared" si="0"/>
        <v>6.9710000000000008E-2</v>
      </c>
      <c r="L10" s="5" t="s">
        <v>124</v>
      </c>
      <c r="M10" s="7" t="s">
        <v>120</v>
      </c>
      <c r="N10" s="12">
        <f>AVERAGE(J25:J29)</f>
        <v>6.7216333333333336E-2</v>
      </c>
    </row>
    <row r="11" spans="2:14" x14ac:dyDescent="0.3">
      <c r="B11" s="22">
        <v>45627</v>
      </c>
      <c r="C11" s="10">
        <v>6.7599999999999993E-2</v>
      </c>
      <c r="D11" s="10">
        <v>6.8019999999999997E-2</v>
      </c>
      <c r="E11" s="10">
        <v>6.8070000000000006E-2</v>
      </c>
      <c r="F11" s="10">
        <v>6.6680000000000003E-2</v>
      </c>
      <c r="G11" s="10">
        <v>1.2999999999999999E-3</v>
      </c>
      <c r="I11" s="1">
        <f t="shared" si="1"/>
        <v>2006</v>
      </c>
      <c r="J11" s="10">
        <f t="shared" si="0"/>
        <v>7.662833333333334E-2</v>
      </c>
      <c r="L11" s="26"/>
      <c r="M11" s="27"/>
      <c r="N11" s="26"/>
    </row>
    <row r="12" spans="2:14" x14ac:dyDescent="0.3">
      <c r="B12" s="22">
        <v>45597</v>
      </c>
      <c r="C12" s="10">
        <v>6.7510000000000001E-2</v>
      </c>
      <c r="D12" s="10">
        <v>6.831000000000001E-2</v>
      </c>
      <c r="E12" s="10">
        <v>6.863000000000001E-2</v>
      </c>
      <c r="F12" s="10">
        <v>6.7390000000000005E-2</v>
      </c>
      <c r="G12" s="10">
        <v>-1.32E-2</v>
      </c>
      <c r="I12" s="1">
        <f t="shared" si="1"/>
        <v>2007</v>
      </c>
      <c r="J12" s="10">
        <f t="shared" si="0"/>
        <v>7.9529166666666651E-2</v>
      </c>
      <c r="L12" s="5" t="s">
        <v>124</v>
      </c>
      <c r="M12" s="7" t="s">
        <v>121</v>
      </c>
      <c r="N12" s="12">
        <f>C3</f>
        <v>6.5879999999999994E-2</v>
      </c>
    </row>
    <row r="13" spans="2:14" x14ac:dyDescent="0.3">
      <c r="B13" s="22">
        <v>45566</v>
      </c>
      <c r="C13" s="10">
        <v>6.8409999999999999E-2</v>
      </c>
      <c r="D13" s="10">
        <v>6.7589999999999997E-2</v>
      </c>
      <c r="E13" s="10">
        <v>6.8750000000000006E-2</v>
      </c>
      <c r="F13" s="10">
        <v>6.7299999999999999E-2</v>
      </c>
      <c r="G13" s="10">
        <v>1.35E-2</v>
      </c>
      <c r="I13" s="1">
        <f t="shared" si="1"/>
        <v>2008</v>
      </c>
      <c r="J13" s="10">
        <f t="shared" si="0"/>
        <v>7.8546666666666667E-2</v>
      </c>
    </row>
    <row r="14" spans="2:14" x14ac:dyDescent="0.3">
      <c r="B14" s="22">
        <v>45536</v>
      </c>
      <c r="C14" s="10">
        <v>6.7500000000000004E-2</v>
      </c>
      <c r="D14" s="10">
        <v>6.8769999999999998E-2</v>
      </c>
      <c r="E14" s="10">
        <v>6.8849999999999995E-2</v>
      </c>
      <c r="F14" s="10">
        <v>6.7060000000000008E-2</v>
      </c>
      <c r="G14" s="10">
        <v>-1.6500000000000001E-2</v>
      </c>
      <c r="I14" s="1">
        <f t="shared" si="1"/>
        <v>2009</v>
      </c>
      <c r="J14" s="10">
        <f t="shared" si="0"/>
        <v>6.948583333333333E-2</v>
      </c>
    </row>
    <row r="15" spans="2:14" x14ac:dyDescent="0.3">
      <c r="B15" s="22">
        <v>45505</v>
      </c>
      <c r="C15" s="10">
        <v>6.863000000000001E-2</v>
      </c>
      <c r="D15" s="10">
        <v>6.9120000000000001E-2</v>
      </c>
      <c r="E15" s="10">
        <v>6.9190000000000002E-2</v>
      </c>
      <c r="F15" s="10">
        <v>6.8430000000000005E-2</v>
      </c>
      <c r="G15" s="10">
        <v>-8.8000000000000005E-3</v>
      </c>
      <c r="I15" s="1">
        <f t="shared" si="1"/>
        <v>2010</v>
      </c>
      <c r="J15" s="10">
        <f t="shared" si="0"/>
        <v>7.8485000000000013E-2</v>
      </c>
    </row>
    <row r="16" spans="2:14" x14ac:dyDescent="0.3">
      <c r="B16" s="22">
        <v>45474</v>
      </c>
      <c r="C16" s="10">
        <v>6.924000000000001E-2</v>
      </c>
      <c r="D16" s="10">
        <v>7.0230000000000001E-2</v>
      </c>
      <c r="E16" s="10">
        <v>7.0239999999999997E-2</v>
      </c>
      <c r="F16" s="10">
        <v>6.9099999999999995E-2</v>
      </c>
      <c r="G16" s="10">
        <v>-1.2E-2</v>
      </c>
      <c r="I16" s="1">
        <f t="shared" si="1"/>
        <v>2011</v>
      </c>
      <c r="J16" s="10">
        <f t="shared" si="0"/>
        <v>8.3657499999999996E-2</v>
      </c>
    </row>
    <row r="17" spans="2:10" x14ac:dyDescent="0.3">
      <c r="B17" s="22">
        <v>45444</v>
      </c>
      <c r="C17" s="10">
        <v>7.0080000000000003E-2</v>
      </c>
      <c r="D17" s="10">
        <v>6.9550000000000001E-2</v>
      </c>
      <c r="E17" s="10">
        <v>7.0620000000000002E-2</v>
      </c>
      <c r="F17" s="10">
        <v>6.9449999999999998E-2</v>
      </c>
      <c r="G17" s="10">
        <v>3.0999999999999999E-3</v>
      </c>
      <c r="I17" s="1">
        <f t="shared" si="1"/>
        <v>2012</v>
      </c>
      <c r="J17" s="10">
        <f t="shared" si="0"/>
        <v>8.2949999999999996E-2</v>
      </c>
    </row>
    <row r="18" spans="2:10" x14ac:dyDescent="0.3">
      <c r="B18" s="22">
        <v>45413</v>
      </c>
      <c r="C18" s="10">
        <v>6.9859999999999992E-2</v>
      </c>
      <c r="D18" s="10">
        <v>7.17E-2</v>
      </c>
      <c r="E18" s="10">
        <v>7.1730000000000002E-2</v>
      </c>
      <c r="F18" s="10">
        <v>6.9669999999999996E-2</v>
      </c>
      <c r="G18" s="10">
        <v>-2.9000000000000001E-2</v>
      </c>
      <c r="I18" s="1">
        <f t="shared" si="1"/>
        <v>2013</v>
      </c>
      <c r="J18" s="10">
        <f t="shared" si="0"/>
        <v>8.1975833333333317E-2</v>
      </c>
    </row>
    <row r="19" spans="2:10" x14ac:dyDescent="0.3">
      <c r="B19" s="22">
        <v>45383</v>
      </c>
      <c r="C19" s="10">
        <v>7.195E-2</v>
      </c>
      <c r="D19" s="10">
        <v>7.0849999999999996E-2</v>
      </c>
      <c r="E19" s="10">
        <v>7.2419999999999998E-2</v>
      </c>
      <c r="F19" s="10">
        <v>7.0750000000000007E-2</v>
      </c>
      <c r="G19" s="10">
        <v>2.0299999999999999E-2</v>
      </c>
      <c r="I19" s="1">
        <f t="shared" si="1"/>
        <v>2014</v>
      </c>
      <c r="J19" s="10">
        <f t="shared" si="0"/>
        <v>8.555083333333334E-2</v>
      </c>
    </row>
    <row r="20" spans="2:10" x14ac:dyDescent="0.3">
      <c r="B20" s="22">
        <v>45352</v>
      </c>
      <c r="C20" s="10">
        <v>7.0519999999999999E-2</v>
      </c>
      <c r="D20" s="10">
        <v>7.0620000000000002E-2</v>
      </c>
      <c r="E20" s="10">
        <v>7.1029999999999996E-2</v>
      </c>
      <c r="F20" s="10">
        <v>7.0059999999999997E-2</v>
      </c>
      <c r="G20" s="10">
        <v>-3.7000000000000002E-3</v>
      </c>
      <c r="I20" s="1">
        <f t="shared" si="1"/>
        <v>2015</v>
      </c>
      <c r="J20" s="10">
        <f>AVERAGEIFS($C$3:$C$332,$B$3:$B$332,"&gt;="&amp;DATE(I20,1,1),$B$3:$B$332,"&lt;="&amp;DATE(I20,12,31))</f>
        <v>7.7501666666666677E-2</v>
      </c>
    </row>
    <row r="21" spans="2:10" x14ac:dyDescent="0.3">
      <c r="B21" s="22">
        <v>45323</v>
      </c>
      <c r="C21" s="10">
        <v>7.078000000000001E-2</v>
      </c>
      <c r="D21" s="10">
        <v>7.1289999999999992E-2</v>
      </c>
      <c r="E21" s="10">
        <v>7.1399999999999991E-2</v>
      </c>
      <c r="F21" s="10">
        <v>7.0209999999999995E-2</v>
      </c>
      <c r="G21" s="10">
        <v>-9.1999999999999998E-3</v>
      </c>
      <c r="I21" s="1">
        <f t="shared" si="1"/>
        <v>2016</v>
      </c>
      <c r="J21" s="10">
        <f t="shared" si="0"/>
        <v>7.1738333333333348E-2</v>
      </c>
    </row>
    <row r="22" spans="2:10" x14ac:dyDescent="0.3">
      <c r="B22" s="22">
        <v>45292</v>
      </c>
      <c r="C22" s="10">
        <v>7.1440000000000003E-2</v>
      </c>
      <c r="D22" s="10">
        <v>7.2069999999999995E-2</v>
      </c>
      <c r="E22" s="10">
        <v>7.2389999999999996E-2</v>
      </c>
      <c r="F22" s="10">
        <v>7.1340000000000001E-2</v>
      </c>
      <c r="G22" s="10">
        <v>-4.4999999999999997E-3</v>
      </c>
      <c r="I22" s="1">
        <f t="shared" si="1"/>
        <v>2017</v>
      </c>
      <c r="J22" s="10">
        <f t="shared" si="0"/>
        <v>6.7472499999999991E-2</v>
      </c>
    </row>
    <row r="23" spans="2:10" x14ac:dyDescent="0.3">
      <c r="B23" s="22">
        <v>45261</v>
      </c>
      <c r="C23" s="10">
        <v>7.1760000000000004E-2</v>
      </c>
      <c r="D23" s="10">
        <v>7.2929999999999995E-2</v>
      </c>
      <c r="E23" s="10">
        <v>7.2980000000000003E-2</v>
      </c>
      <c r="F23" s="10">
        <v>7.1470000000000006E-2</v>
      </c>
      <c r="G23" s="10">
        <v>-1.4200000000000001E-2</v>
      </c>
      <c r="I23" s="1">
        <f t="shared" si="1"/>
        <v>2018</v>
      </c>
      <c r="J23" s="10">
        <f t="shared" si="0"/>
        <v>7.718916666666667E-2</v>
      </c>
    </row>
    <row r="24" spans="2:10" x14ac:dyDescent="0.3">
      <c r="B24" s="22">
        <v>45231</v>
      </c>
      <c r="C24" s="10">
        <v>7.2789999999999994E-2</v>
      </c>
      <c r="D24" s="10">
        <v>7.3760000000000006E-2</v>
      </c>
      <c r="E24" s="10">
        <v>7.3760000000000006E-2</v>
      </c>
      <c r="F24" s="10">
        <v>7.1940000000000004E-2</v>
      </c>
      <c r="G24" s="10">
        <v>-9.7999999999999997E-3</v>
      </c>
      <c r="I24" s="1">
        <f t="shared" si="1"/>
        <v>2019</v>
      </c>
      <c r="J24" s="10">
        <f t="shared" si="0"/>
        <v>6.918500000000001E-2</v>
      </c>
    </row>
    <row r="25" spans="2:10" x14ac:dyDescent="0.3">
      <c r="B25" s="22">
        <v>45200</v>
      </c>
      <c r="C25" s="10">
        <v>7.3510000000000006E-2</v>
      </c>
      <c r="D25" s="10">
        <v>7.2389999999999996E-2</v>
      </c>
      <c r="E25" s="10">
        <v>7.3950000000000002E-2</v>
      </c>
      <c r="F25" s="10">
        <v>7.2050000000000003E-2</v>
      </c>
      <c r="G25" s="10">
        <v>1.9599999999999999E-2</v>
      </c>
      <c r="I25" s="1">
        <f>I24+1</f>
        <v>2020</v>
      </c>
      <c r="J25" s="10">
        <f t="shared" si="0"/>
        <v>6.0612500000000007E-2</v>
      </c>
    </row>
    <row r="26" spans="2:10" x14ac:dyDescent="0.3">
      <c r="B26" s="22">
        <v>45170</v>
      </c>
      <c r="C26" s="10">
        <v>7.2099999999999997E-2</v>
      </c>
      <c r="D26" s="10">
        <v>7.1739999999999998E-2</v>
      </c>
      <c r="E26" s="10">
        <v>7.2410000000000002E-2</v>
      </c>
      <c r="F26" s="10">
        <v>7.0860000000000006E-2</v>
      </c>
      <c r="G26" s="10">
        <v>6.1000000000000004E-3</v>
      </c>
      <c r="I26" s="1">
        <f t="shared" si="1"/>
        <v>2021</v>
      </c>
      <c r="J26" s="10">
        <f t="shared" si="0"/>
        <v>6.1889999999999994E-2</v>
      </c>
    </row>
    <row r="27" spans="2:10" x14ac:dyDescent="0.3">
      <c r="B27" s="22">
        <v>45139</v>
      </c>
      <c r="C27" s="10">
        <v>7.1660000000000001E-2</v>
      </c>
      <c r="D27" s="10">
        <v>7.1859999999999993E-2</v>
      </c>
      <c r="E27" s="10">
        <v>7.2559999999999999E-2</v>
      </c>
      <c r="F27" s="10">
        <v>7.1470000000000006E-2</v>
      </c>
      <c r="G27" s="10">
        <v>-8.0000000000000004E-4</v>
      </c>
      <c r="I27" s="1">
        <f t="shared" si="1"/>
        <v>2022</v>
      </c>
      <c r="J27" s="10">
        <f t="shared" si="0"/>
        <v>7.1882500000000002E-2</v>
      </c>
    </row>
    <row r="28" spans="2:10" x14ac:dyDescent="0.3">
      <c r="B28" s="22">
        <v>45108</v>
      </c>
      <c r="C28" s="10">
        <v>7.1719999999999992E-2</v>
      </c>
      <c r="D28" s="10">
        <v>7.1129999999999999E-2</v>
      </c>
      <c r="E28" s="10">
        <v>7.1849999999999997E-2</v>
      </c>
      <c r="F28" s="10">
        <v>7.0469999999999991E-2</v>
      </c>
      <c r="G28" s="10">
        <v>8.6999999999999994E-3</v>
      </c>
      <c r="I28" s="1">
        <f t="shared" si="1"/>
        <v>2023</v>
      </c>
      <c r="J28" s="10">
        <f t="shared" si="0"/>
        <v>7.2236666666666671E-2</v>
      </c>
    </row>
    <row r="29" spans="2:10" x14ac:dyDescent="0.3">
      <c r="B29" s="22">
        <v>45078</v>
      </c>
      <c r="C29" s="10">
        <v>7.1099999999999997E-2</v>
      </c>
      <c r="D29" s="10">
        <v>7.0190000000000002E-2</v>
      </c>
      <c r="E29" s="10">
        <v>7.1169999999999997E-2</v>
      </c>
      <c r="F29" s="10">
        <v>6.9629999999999997E-2</v>
      </c>
      <c r="G29" s="10">
        <v>1.7299999999999999E-2</v>
      </c>
      <c r="I29" s="1">
        <f t="shared" si="1"/>
        <v>2024</v>
      </c>
      <c r="J29" s="10">
        <f t="shared" si="0"/>
        <v>6.9460000000000008E-2</v>
      </c>
    </row>
    <row r="30" spans="2:10" x14ac:dyDescent="0.3">
      <c r="B30" s="22">
        <v>45047</v>
      </c>
      <c r="C30" s="10">
        <v>6.9889999999999994E-2</v>
      </c>
      <c r="D30" s="10">
        <v>7.1349999999999997E-2</v>
      </c>
      <c r="E30" s="10">
        <v>7.1379999999999999E-2</v>
      </c>
      <c r="F30" s="10">
        <v>6.9470000000000004E-2</v>
      </c>
      <c r="G30" s="10">
        <v>-1.78E-2</v>
      </c>
    </row>
    <row r="31" spans="2:10" x14ac:dyDescent="0.3">
      <c r="B31" s="22">
        <v>45017</v>
      </c>
      <c r="C31" s="10">
        <v>7.1160000000000001E-2</v>
      </c>
      <c r="D31" s="10">
        <v>7.3700000000000002E-2</v>
      </c>
      <c r="E31" s="10">
        <v>7.3700000000000002E-2</v>
      </c>
      <c r="F31" s="10">
        <v>7.077E-2</v>
      </c>
      <c r="G31" s="10">
        <v>-2.7199999999999998E-2</v>
      </c>
    </row>
    <row r="32" spans="2:10" x14ac:dyDescent="0.3">
      <c r="B32" s="22">
        <v>44986</v>
      </c>
      <c r="C32" s="10">
        <v>7.3150000000000007E-2</v>
      </c>
      <c r="D32" s="10">
        <v>7.4679999999999996E-2</v>
      </c>
      <c r="E32" s="10">
        <v>7.4730000000000005E-2</v>
      </c>
      <c r="F32" s="10">
        <v>7.2800000000000004E-2</v>
      </c>
      <c r="G32" s="10">
        <v>-1.9E-2</v>
      </c>
    </row>
    <row r="33" spans="2:7" x14ac:dyDescent="0.3">
      <c r="B33" s="22">
        <v>44958</v>
      </c>
      <c r="C33" s="10">
        <v>7.4569999999999997E-2</v>
      </c>
      <c r="D33" s="10">
        <v>7.4160000000000004E-2</v>
      </c>
      <c r="E33" s="10">
        <v>7.4649999999999994E-2</v>
      </c>
      <c r="F33" s="10">
        <v>7.2450000000000001E-2</v>
      </c>
      <c r="G33" s="10">
        <v>1.55E-2</v>
      </c>
    </row>
    <row r="34" spans="2:7" x14ac:dyDescent="0.3">
      <c r="B34" s="22">
        <v>44927</v>
      </c>
      <c r="C34" s="10">
        <v>7.3429999999999995E-2</v>
      </c>
      <c r="D34" s="10">
        <v>7.3459999999999998E-2</v>
      </c>
      <c r="E34" s="10">
        <v>7.4069999999999997E-2</v>
      </c>
      <c r="F34" s="10">
        <v>7.2660000000000002E-2</v>
      </c>
      <c r="G34" s="10">
        <v>2.2000000000000001E-3</v>
      </c>
    </row>
    <row r="35" spans="2:7" x14ac:dyDescent="0.3">
      <c r="B35" s="22">
        <v>44896</v>
      </c>
      <c r="C35" s="10">
        <v>7.3270000000000002E-2</v>
      </c>
      <c r="D35" s="10">
        <v>7.2550000000000003E-2</v>
      </c>
      <c r="E35" s="10">
        <v>7.3440000000000005E-2</v>
      </c>
      <c r="F35" s="10">
        <v>7.1809999999999999E-2</v>
      </c>
      <c r="G35" s="10">
        <v>6.4999999999999997E-3</v>
      </c>
    </row>
    <row r="36" spans="2:7" x14ac:dyDescent="0.3">
      <c r="B36" s="22">
        <v>44866</v>
      </c>
      <c r="C36" s="10">
        <v>7.2800000000000004E-2</v>
      </c>
      <c r="D36" s="10">
        <v>7.4349999999999999E-2</v>
      </c>
      <c r="E36" s="10">
        <v>7.4969999999999995E-2</v>
      </c>
      <c r="F36" s="10">
        <v>7.2349999999999998E-2</v>
      </c>
      <c r="G36" s="10">
        <v>-2.2200000000000001E-2</v>
      </c>
    </row>
    <row r="37" spans="2:7" x14ac:dyDescent="0.3">
      <c r="B37" s="22">
        <v>44835</v>
      </c>
      <c r="C37" s="10">
        <v>7.4450000000000002E-2</v>
      </c>
      <c r="D37" s="10">
        <v>7.4029999999999999E-2</v>
      </c>
      <c r="E37" s="10">
        <v>7.5410000000000005E-2</v>
      </c>
      <c r="F37" s="10">
        <v>7.3609999999999995E-2</v>
      </c>
      <c r="G37" s="10">
        <v>6.4000000000000003E-3</v>
      </c>
    </row>
    <row r="38" spans="2:7" x14ac:dyDescent="0.3">
      <c r="B38" s="22">
        <v>44805</v>
      </c>
      <c r="C38" s="10">
        <v>7.397999999999999E-2</v>
      </c>
      <c r="D38" s="10">
        <v>7.2300000000000003E-2</v>
      </c>
      <c r="E38" s="10">
        <v>7.4230000000000004E-2</v>
      </c>
      <c r="F38" s="10">
        <v>7.1059999999999998E-2</v>
      </c>
      <c r="G38" s="10">
        <v>2.92E-2</v>
      </c>
    </row>
    <row r="39" spans="2:7" x14ac:dyDescent="0.3">
      <c r="B39" s="22">
        <v>44774</v>
      </c>
      <c r="C39" s="10">
        <v>7.1879999999999999E-2</v>
      </c>
      <c r="D39" s="10">
        <v>7.3569999999999997E-2</v>
      </c>
      <c r="E39" s="10">
        <v>7.3660000000000003E-2</v>
      </c>
      <c r="F39" s="10">
        <v>7.1099999999999997E-2</v>
      </c>
      <c r="G39" s="10">
        <v>-1.7999999999999999E-2</v>
      </c>
    </row>
    <row r="40" spans="2:7" x14ac:dyDescent="0.3">
      <c r="B40" s="22">
        <v>44743</v>
      </c>
      <c r="C40" s="10">
        <v>7.3200000000000001E-2</v>
      </c>
      <c r="D40" s="10">
        <v>7.4270000000000003E-2</v>
      </c>
      <c r="E40" s="10">
        <v>7.4749999999999997E-2</v>
      </c>
      <c r="F40" s="10">
        <v>7.2550000000000003E-2</v>
      </c>
      <c r="G40" s="10">
        <v>-1.7399999999999999E-2</v>
      </c>
    </row>
    <row r="41" spans="2:7" x14ac:dyDescent="0.3">
      <c r="B41" s="22">
        <v>44713</v>
      </c>
      <c r="C41" s="10">
        <v>7.4499999999999997E-2</v>
      </c>
      <c r="D41" s="10">
        <v>7.4370000000000006E-2</v>
      </c>
      <c r="E41" s="10">
        <v>7.6170000000000002E-2</v>
      </c>
      <c r="F41" s="10">
        <v>7.3650000000000007E-2</v>
      </c>
      <c r="G41" s="10">
        <v>4.7000000000000002E-3</v>
      </c>
    </row>
    <row r="42" spans="2:7" x14ac:dyDescent="0.3">
      <c r="B42" s="22">
        <v>44682</v>
      </c>
      <c r="C42" s="10">
        <v>7.4149999999999994E-2</v>
      </c>
      <c r="D42" s="10">
        <v>7.1379999999999999E-2</v>
      </c>
      <c r="E42" s="10">
        <v>7.490999999999999E-2</v>
      </c>
      <c r="F42" s="10">
        <v>7.1160000000000001E-2</v>
      </c>
      <c r="G42" s="10">
        <v>3.8699999999999998E-2</v>
      </c>
    </row>
    <row r="43" spans="2:7" x14ac:dyDescent="0.3">
      <c r="B43" s="22">
        <v>44652</v>
      </c>
      <c r="C43" s="10">
        <v>7.1390000000000009E-2</v>
      </c>
      <c r="D43" s="10">
        <v>6.9510000000000002E-2</v>
      </c>
      <c r="E43" s="10">
        <v>7.2849999999999998E-2</v>
      </c>
      <c r="F43" s="10">
        <v>6.8909999999999999E-2</v>
      </c>
      <c r="G43" s="10">
        <v>4.3299999999999998E-2</v>
      </c>
    </row>
    <row r="44" spans="2:7" x14ac:dyDescent="0.3">
      <c r="B44" s="22">
        <v>44621</v>
      </c>
      <c r="C44" s="10">
        <v>6.8430000000000005E-2</v>
      </c>
      <c r="D44" s="10">
        <v>6.7990000000000009E-2</v>
      </c>
      <c r="E44" s="10">
        <v>6.9190000000000002E-2</v>
      </c>
      <c r="F44" s="10">
        <v>6.7729999999999999E-2</v>
      </c>
      <c r="G44" s="10">
        <v>1.0800000000000001E-2</v>
      </c>
    </row>
    <row r="45" spans="2:7" x14ac:dyDescent="0.3">
      <c r="B45" s="22">
        <v>44593</v>
      </c>
      <c r="C45" s="10">
        <v>6.7699999999999996E-2</v>
      </c>
      <c r="D45" s="10">
        <v>6.7279999999999993E-2</v>
      </c>
      <c r="E45" s="10">
        <v>6.9550000000000001E-2</v>
      </c>
      <c r="F45" s="10">
        <v>6.615E-2</v>
      </c>
      <c r="G45" s="10">
        <v>1.29E-2</v>
      </c>
    </row>
    <row r="46" spans="2:7" x14ac:dyDescent="0.3">
      <c r="B46" s="22">
        <v>44562</v>
      </c>
      <c r="C46" s="10">
        <v>6.6839999999999997E-2</v>
      </c>
      <c r="D46" s="10">
        <v>6.4630000000000007E-2</v>
      </c>
      <c r="E46" s="10">
        <v>6.8019999999999997E-2</v>
      </c>
      <c r="F46" s="10">
        <v>6.4549999999999996E-2</v>
      </c>
      <c r="G46" s="10">
        <v>3.56E-2</v>
      </c>
    </row>
    <row r="47" spans="2:7" x14ac:dyDescent="0.3">
      <c r="B47" s="22">
        <v>44531</v>
      </c>
      <c r="C47" s="10">
        <v>6.454E-2</v>
      </c>
      <c r="D47" s="10">
        <v>6.3600000000000004E-2</v>
      </c>
      <c r="E47" s="10">
        <v>6.497E-2</v>
      </c>
      <c r="F47" s="10">
        <v>6.3399999999999998E-2</v>
      </c>
      <c r="G47" s="10">
        <v>2.0199999999999999E-2</v>
      </c>
    </row>
    <row r="48" spans="2:7" x14ac:dyDescent="0.3">
      <c r="B48" s="22">
        <v>44501</v>
      </c>
      <c r="C48" s="10">
        <v>6.3259999999999997E-2</v>
      </c>
      <c r="D48" s="10">
        <v>6.3909999999999995E-2</v>
      </c>
      <c r="E48" s="10">
        <v>6.3930000000000001E-2</v>
      </c>
      <c r="F48" s="10">
        <v>6.2869999999999995E-2</v>
      </c>
      <c r="G48" s="10">
        <v>-9.7000000000000003E-3</v>
      </c>
    </row>
    <row r="49" spans="2:7" x14ac:dyDescent="0.3">
      <c r="B49" s="22">
        <v>44470</v>
      </c>
      <c r="C49" s="10">
        <v>6.3879999999999992E-2</v>
      </c>
      <c r="D49" s="10">
        <v>6.2300000000000001E-2</v>
      </c>
      <c r="E49" s="10">
        <v>6.429E-2</v>
      </c>
      <c r="F49" s="10">
        <v>6.2260000000000003E-2</v>
      </c>
      <c r="G49" s="10">
        <v>2.6499999999999999E-2</v>
      </c>
    </row>
    <row r="50" spans="2:7" x14ac:dyDescent="0.3">
      <c r="B50" s="22">
        <v>44440</v>
      </c>
      <c r="C50" s="10">
        <v>6.2230000000000001E-2</v>
      </c>
      <c r="D50" s="10">
        <v>6.2350000000000003E-2</v>
      </c>
      <c r="E50" s="10">
        <v>6.2350000000000003E-2</v>
      </c>
      <c r="F50" s="10">
        <v>6.1159999999999999E-2</v>
      </c>
      <c r="G50" s="10">
        <v>1.2999999999999999E-3</v>
      </c>
    </row>
    <row r="51" spans="2:7" x14ac:dyDescent="0.3">
      <c r="B51" s="22">
        <v>44409</v>
      </c>
      <c r="C51" s="10">
        <v>6.2149999999999997E-2</v>
      </c>
      <c r="D51" s="10">
        <v>6.2039999999999998E-2</v>
      </c>
      <c r="E51" s="10">
        <v>6.2839999999999993E-2</v>
      </c>
      <c r="F51" s="10">
        <v>6.1879999999999998E-2</v>
      </c>
      <c r="G51" s="10">
        <v>1.8E-3</v>
      </c>
    </row>
    <row r="52" spans="2:7" x14ac:dyDescent="0.3">
      <c r="B52" s="22">
        <v>44378</v>
      </c>
      <c r="C52" s="10">
        <v>6.2039999999999998E-2</v>
      </c>
      <c r="D52" s="10">
        <v>6.0819999999999999E-2</v>
      </c>
      <c r="E52" s="10">
        <v>6.2770000000000006E-2</v>
      </c>
      <c r="F52" s="10">
        <v>6.0350000000000001E-2</v>
      </c>
      <c r="G52" s="10">
        <v>2.53E-2</v>
      </c>
    </row>
    <row r="53" spans="2:7" x14ac:dyDescent="0.3">
      <c r="B53" s="22">
        <v>44348</v>
      </c>
      <c r="C53" s="10">
        <v>6.0510000000000001E-2</v>
      </c>
      <c r="D53" s="10">
        <v>6.0319999999999999E-2</v>
      </c>
      <c r="E53" s="10">
        <v>6.0890000000000007E-2</v>
      </c>
      <c r="F53" s="10">
        <v>5.9839999999999997E-2</v>
      </c>
      <c r="G53" s="10">
        <v>4.7999999999999996E-3</v>
      </c>
    </row>
    <row r="54" spans="2:7" x14ac:dyDescent="0.3">
      <c r="B54" s="22">
        <v>44317</v>
      </c>
      <c r="C54" s="10">
        <v>6.0220000000000003E-2</v>
      </c>
      <c r="D54" s="10">
        <v>6.0289999999999996E-2</v>
      </c>
      <c r="E54" s="10">
        <v>6.0479999999999999E-2</v>
      </c>
      <c r="F54" s="10">
        <v>5.9580000000000001E-2</v>
      </c>
      <c r="G54" s="10">
        <v>-1.2999999999999999E-3</v>
      </c>
    </row>
    <row r="55" spans="2:7" x14ac:dyDescent="0.3">
      <c r="B55" s="22">
        <v>44287</v>
      </c>
      <c r="C55" s="10">
        <v>6.0299999999999999E-2</v>
      </c>
      <c r="D55" s="10">
        <v>6.2019999999999999E-2</v>
      </c>
      <c r="E55" s="10">
        <v>6.2019999999999999E-2</v>
      </c>
      <c r="F55" s="10">
        <v>5.9900000000000002E-2</v>
      </c>
      <c r="G55" s="10">
        <v>-2.3800000000000002E-2</v>
      </c>
    </row>
    <row r="56" spans="2:7" x14ac:dyDescent="0.3">
      <c r="B56" s="22">
        <v>44256</v>
      </c>
      <c r="C56" s="10">
        <v>6.1769999999999999E-2</v>
      </c>
      <c r="D56" s="10">
        <v>6.2359999999999999E-2</v>
      </c>
      <c r="E56" s="10">
        <v>6.2740000000000004E-2</v>
      </c>
      <c r="F56" s="10">
        <v>6.114E-2</v>
      </c>
      <c r="G56" s="10">
        <v>-8.3000000000000001E-3</v>
      </c>
    </row>
    <row r="57" spans="2:7" x14ac:dyDescent="0.3">
      <c r="B57" s="22">
        <v>44228</v>
      </c>
      <c r="C57" s="10">
        <v>6.2289999999999998E-2</v>
      </c>
      <c r="D57" s="10">
        <v>5.917E-2</v>
      </c>
      <c r="E57" s="10">
        <v>6.2420000000000003E-2</v>
      </c>
      <c r="F57" s="10">
        <v>5.8880000000000002E-2</v>
      </c>
      <c r="G57" s="10">
        <v>4.7100000000000003E-2</v>
      </c>
    </row>
    <row r="58" spans="2:7" x14ac:dyDescent="0.3">
      <c r="B58" s="22">
        <v>44197</v>
      </c>
      <c r="C58" s="10">
        <v>5.9490000000000001E-2</v>
      </c>
      <c r="D58" s="10">
        <v>5.9050000000000005E-2</v>
      </c>
      <c r="E58" s="10">
        <v>5.9880000000000003E-2</v>
      </c>
      <c r="F58" s="10">
        <v>5.8390000000000004E-2</v>
      </c>
      <c r="G58" s="10">
        <v>9.2999999999999992E-3</v>
      </c>
    </row>
    <row r="59" spans="2:7" x14ac:dyDescent="0.3">
      <c r="B59" s="22">
        <v>44166</v>
      </c>
      <c r="C59" s="10">
        <v>5.8939999999999999E-2</v>
      </c>
      <c r="D59" s="10">
        <v>5.9189999999999993E-2</v>
      </c>
      <c r="E59" s="10">
        <v>5.9810000000000002E-2</v>
      </c>
      <c r="F59" s="10">
        <v>5.8869999999999999E-2</v>
      </c>
      <c r="G59" s="10">
        <v>-2.8999999999999998E-3</v>
      </c>
    </row>
    <row r="60" spans="2:7" x14ac:dyDescent="0.3">
      <c r="B60" s="22">
        <v>44136</v>
      </c>
      <c r="C60" s="10">
        <v>5.9109999999999996E-2</v>
      </c>
      <c r="D60" s="10">
        <v>5.8899999999999994E-2</v>
      </c>
      <c r="E60" s="10">
        <v>5.9359999999999996E-2</v>
      </c>
      <c r="F60" s="10">
        <v>5.8369999999999998E-2</v>
      </c>
      <c r="G60" s="10">
        <v>5.1000000000000004E-3</v>
      </c>
    </row>
    <row r="61" spans="2:7" x14ac:dyDescent="0.3">
      <c r="B61" s="22">
        <v>44105</v>
      </c>
      <c r="C61" s="10">
        <v>5.8810000000000001E-2</v>
      </c>
      <c r="D61" s="10">
        <v>5.9650000000000002E-2</v>
      </c>
      <c r="E61" s="10">
        <v>6.0420000000000001E-2</v>
      </c>
      <c r="F61" s="10">
        <v>5.7910000000000003E-2</v>
      </c>
      <c r="G61" s="10">
        <v>-2.23E-2</v>
      </c>
    </row>
    <row r="62" spans="2:7" x14ac:dyDescent="0.3">
      <c r="B62" s="22">
        <v>44075</v>
      </c>
      <c r="C62" s="10">
        <v>6.0149999999999995E-2</v>
      </c>
      <c r="D62" s="10">
        <v>5.9490000000000001E-2</v>
      </c>
      <c r="E62" s="10">
        <v>6.1089999999999998E-2</v>
      </c>
      <c r="F62" s="10">
        <v>5.8779999999999999E-2</v>
      </c>
      <c r="G62" s="10">
        <v>-1.04E-2</v>
      </c>
    </row>
    <row r="63" spans="2:7" x14ac:dyDescent="0.3">
      <c r="B63" s="22">
        <v>44044</v>
      </c>
      <c r="C63" s="10">
        <v>6.0780000000000001E-2</v>
      </c>
      <c r="D63" s="10">
        <v>5.8459999999999998E-2</v>
      </c>
      <c r="E63" s="10">
        <v>6.2309999999999997E-2</v>
      </c>
      <c r="F63" s="10">
        <v>5.808E-2</v>
      </c>
      <c r="G63" s="10">
        <v>4.1300000000000003E-2</v>
      </c>
    </row>
    <row r="64" spans="2:7" x14ac:dyDescent="0.3">
      <c r="B64" s="22">
        <v>44013</v>
      </c>
      <c r="C64" s="10">
        <v>5.8369999999999998E-2</v>
      </c>
      <c r="D64" s="10">
        <v>5.9069999999999998E-2</v>
      </c>
      <c r="E64" s="10">
        <v>5.9069999999999998E-2</v>
      </c>
      <c r="F64" s="10">
        <v>5.747E-2</v>
      </c>
      <c r="G64" s="10">
        <v>-8.6999999999999994E-3</v>
      </c>
    </row>
    <row r="65" spans="2:7" x14ac:dyDescent="0.3">
      <c r="B65" s="22">
        <v>43983</v>
      </c>
      <c r="C65" s="10">
        <v>5.8880000000000002E-2</v>
      </c>
      <c r="D65" s="10">
        <v>6.055E-2</v>
      </c>
      <c r="E65" s="10">
        <v>6.0890000000000007E-2</v>
      </c>
      <c r="F65" s="10">
        <v>5.7549999999999997E-2</v>
      </c>
      <c r="G65" s="10">
        <v>-2.0799999999999999E-2</v>
      </c>
    </row>
    <row r="66" spans="2:7" x14ac:dyDescent="0.3">
      <c r="B66" s="22">
        <v>43952</v>
      </c>
      <c r="C66" s="10">
        <v>6.0129999999999996E-2</v>
      </c>
      <c r="D66" s="10">
        <v>6.1379999999999997E-2</v>
      </c>
      <c r="E66" s="10">
        <v>6.25E-2</v>
      </c>
      <c r="F66" s="10">
        <v>5.8789999999999995E-2</v>
      </c>
      <c r="G66" s="10">
        <v>-1.5900000000000001E-2</v>
      </c>
    </row>
    <row r="67" spans="2:7" x14ac:dyDescent="0.3">
      <c r="B67" s="22">
        <v>43922</v>
      </c>
      <c r="C67" s="10">
        <v>6.1100000000000002E-2</v>
      </c>
      <c r="D67" s="10">
        <v>6.2869999999999995E-2</v>
      </c>
      <c r="E67" s="10">
        <v>6.5040000000000001E-2</v>
      </c>
      <c r="F67" s="10">
        <v>6.0149999999999995E-2</v>
      </c>
      <c r="G67" s="10">
        <v>-4.5999999999999999E-3</v>
      </c>
    </row>
    <row r="68" spans="2:7" x14ac:dyDescent="0.3">
      <c r="B68" s="22">
        <v>43891</v>
      </c>
      <c r="C68" s="10">
        <v>6.1379999999999997E-2</v>
      </c>
      <c r="D68" s="10">
        <v>6.343E-2</v>
      </c>
      <c r="E68" s="10">
        <v>6.4489999999999992E-2</v>
      </c>
      <c r="F68" s="10">
        <v>5.9950000000000003E-2</v>
      </c>
      <c r="G68" s="10">
        <v>-3.6600000000000001E-2</v>
      </c>
    </row>
    <row r="69" spans="2:7" x14ac:dyDescent="0.3">
      <c r="B69" s="22">
        <v>43862</v>
      </c>
      <c r="C69" s="10">
        <v>6.3710000000000003E-2</v>
      </c>
      <c r="D69" s="10">
        <v>6.5090000000000009E-2</v>
      </c>
      <c r="E69" s="10">
        <v>6.5199999999999994E-2</v>
      </c>
      <c r="F69" s="10">
        <v>6.3259999999999997E-2</v>
      </c>
      <c r="G69" s="10">
        <v>-3.4599999999999999E-2</v>
      </c>
    </row>
    <row r="70" spans="2:7" x14ac:dyDescent="0.3">
      <c r="B70" s="22">
        <v>43831</v>
      </c>
      <c r="C70" s="10">
        <v>6.5990000000000007E-2</v>
      </c>
      <c r="D70" s="10">
        <v>6.5479999999999997E-2</v>
      </c>
      <c r="E70" s="10">
        <v>6.6920000000000007E-2</v>
      </c>
      <c r="F70" s="10">
        <v>6.4850000000000005E-2</v>
      </c>
      <c r="G70" s="10">
        <v>6.8999999999999999E-3</v>
      </c>
    </row>
    <row r="71" spans="2:7" x14ac:dyDescent="0.3">
      <c r="B71" s="22">
        <v>43800</v>
      </c>
      <c r="C71" s="10">
        <v>6.5540000000000001E-2</v>
      </c>
      <c r="D71" s="10">
        <v>6.4630000000000007E-2</v>
      </c>
      <c r="E71" s="10">
        <v>6.837E-2</v>
      </c>
      <c r="F71" s="10">
        <v>6.448000000000001E-2</v>
      </c>
      <c r="G71" s="10">
        <v>1.46E-2</v>
      </c>
    </row>
    <row r="72" spans="2:7" x14ac:dyDescent="0.3">
      <c r="B72" s="22">
        <v>43770</v>
      </c>
      <c r="C72" s="10">
        <v>6.4600000000000005E-2</v>
      </c>
      <c r="D72" s="10">
        <v>6.4310000000000006E-2</v>
      </c>
      <c r="E72" s="10">
        <v>6.5739999999999993E-2</v>
      </c>
      <c r="F72" s="10">
        <v>6.4149999999999999E-2</v>
      </c>
      <c r="G72" s="10">
        <v>-2.75E-2</v>
      </c>
    </row>
    <row r="73" spans="2:7" x14ac:dyDescent="0.3">
      <c r="B73" s="22">
        <v>43739</v>
      </c>
      <c r="C73" s="10">
        <v>6.6430000000000003E-2</v>
      </c>
      <c r="D73" s="10">
        <v>6.6799999999999998E-2</v>
      </c>
      <c r="E73" s="10">
        <v>6.7390000000000005E-2</v>
      </c>
      <c r="F73" s="10">
        <v>6.5820000000000004E-2</v>
      </c>
      <c r="G73" s="10">
        <v>-7.7999999999999996E-3</v>
      </c>
    </row>
    <row r="74" spans="2:7" x14ac:dyDescent="0.3">
      <c r="B74" s="22">
        <v>43709</v>
      </c>
      <c r="C74" s="10">
        <v>6.695000000000001E-2</v>
      </c>
      <c r="D74" s="10">
        <v>6.4979999999999996E-2</v>
      </c>
      <c r="E74" s="10">
        <v>6.8739999999999996E-2</v>
      </c>
      <c r="F74" s="10">
        <v>6.4880000000000007E-2</v>
      </c>
      <c r="G74" s="10">
        <v>2.12E-2</v>
      </c>
    </row>
    <row r="75" spans="2:7" x14ac:dyDescent="0.3">
      <c r="B75" s="22">
        <v>43678</v>
      </c>
      <c r="C75" s="10">
        <v>6.5560000000000007E-2</v>
      </c>
      <c r="D75" s="10">
        <v>6.3939999999999997E-2</v>
      </c>
      <c r="E75" s="10">
        <v>6.6390000000000005E-2</v>
      </c>
      <c r="F75" s="10">
        <v>6.2960000000000002E-2</v>
      </c>
      <c r="G75" s="10">
        <v>2.9399999999999999E-2</v>
      </c>
    </row>
    <row r="76" spans="2:7" x14ac:dyDescent="0.3">
      <c r="B76" s="22">
        <v>43647</v>
      </c>
      <c r="C76" s="10">
        <v>6.3689999999999997E-2</v>
      </c>
      <c r="D76" s="10">
        <v>6.9059999999999996E-2</v>
      </c>
      <c r="E76" s="10">
        <v>6.93E-2</v>
      </c>
      <c r="F76" s="10">
        <v>6.2659999999999993E-2</v>
      </c>
      <c r="G76" s="10">
        <v>-7.4099999999999999E-2</v>
      </c>
    </row>
    <row r="77" spans="2:7" x14ac:dyDescent="0.3">
      <c r="B77" s="22">
        <v>43617</v>
      </c>
      <c r="C77" s="10">
        <v>6.878999999999999E-2</v>
      </c>
      <c r="D77" s="10">
        <v>6.9489999999999996E-2</v>
      </c>
      <c r="E77" s="10">
        <v>7.0970000000000005E-2</v>
      </c>
      <c r="F77" s="10">
        <v>6.7339999999999997E-2</v>
      </c>
      <c r="G77" s="10">
        <v>-2.18E-2</v>
      </c>
    </row>
    <row r="78" spans="2:7" x14ac:dyDescent="0.3">
      <c r="B78" s="22">
        <v>43586</v>
      </c>
      <c r="C78" s="10">
        <v>7.0319999999999994E-2</v>
      </c>
      <c r="D78" s="10">
        <v>7.4109999999999995E-2</v>
      </c>
      <c r="E78" s="10">
        <v>7.4260000000000007E-2</v>
      </c>
      <c r="F78" s="10">
        <v>7.0300000000000001E-2</v>
      </c>
      <c r="G78" s="10">
        <v>-5.1499999999999997E-2</v>
      </c>
    </row>
    <row r="79" spans="2:7" x14ac:dyDescent="0.3">
      <c r="B79" s="22">
        <v>43556</v>
      </c>
      <c r="C79" s="10">
        <v>7.4139999999999998E-2</v>
      </c>
      <c r="D79" s="10">
        <v>7.356E-2</v>
      </c>
      <c r="E79" s="10">
        <v>7.4969999999999995E-2</v>
      </c>
      <c r="F79" s="10">
        <v>7.2290000000000007E-2</v>
      </c>
      <c r="G79" s="10">
        <v>9.2999999999999992E-3</v>
      </c>
    </row>
    <row r="80" spans="2:7" x14ac:dyDescent="0.3">
      <c r="B80" s="22">
        <v>43525</v>
      </c>
      <c r="C80" s="10">
        <v>7.3459999999999998E-2</v>
      </c>
      <c r="D80" s="10">
        <v>7.5880000000000003E-2</v>
      </c>
      <c r="E80" s="10">
        <v>7.5899999999999995E-2</v>
      </c>
      <c r="F80" s="10">
        <v>7.3010000000000005E-2</v>
      </c>
      <c r="G80" s="10">
        <v>-3.2300000000000002E-2</v>
      </c>
    </row>
    <row r="81" spans="2:7" x14ac:dyDescent="0.3">
      <c r="B81" s="22">
        <v>43497</v>
      </c>
      <c r="C81" s="10">
        <v>7.5910000000000005E-2</v>
      </c>
      <c r="D81" s="10">
        <v>7.4700000000000003E-2</v>
      </c>
      <c r="E81" s="10">
        <v>7.6990000000000003E-2</v>
      </c>
      <c r="F81" s="10">
        <v>7.4249999999999997E-2</v>
      </c>
      <c r="G81" s="10">
        <v>1.44E-2</v>
      </c>
    </row>
    <row r="82" spans="2:7" x14ac:dyDescent="0.3">
      <c r="B82" s="22">
        <v>43466</v>
      </c>
      <c r="C82" s="10">
        <v>7.4829999999999994E-2</v>
      </c>
      <c r="D82" s="10">
        <v>7.4009999999999992E-2</v>
      </c>
      <c r="E82" s="10">
        <v>7.6499999999999999E-2</v>
      </c>
      <c r="F82" s="10">
        <v>7.3499999999999996E-2</v>
      </c>
      <c r="G82" s="10">
        <v>1.5299999999999999E-2</v>
      </c>
    </row>
    <row r="83" spans="2:7" x14ac:dyDescent="0.3">
      <c r="B83" s="22">
        <v>43435</v>
      </c>
      <c r="C83" s="10">
        <v>7.3700000000000002E-2</v>
      </c>
      <c r="D83" s="10">
        <v>7.646E-2</v>
      </c>
      <c r="E83" s="10">
        <v>7.7030000000000001E-2</v>
      </c>
      <c r="F83" s="10">
        <v>7.2179999999999994E-2</v>
      </c>
      <c r="G83" s="10">
        <v>-3.1199999999999999E-2</v>
      </c>
    </row>
    <row r="84" spans="2:7" x14ac:dyDescent="0.3">
      <c r="B84" s="22">
        <v>43405</v>
      </c>
      <c r="C84" s="10">
        <v>7.6069999999999999E-2</v>
      </c>
      <c r="D84" s="10">
        <v>7.8310000000000005E-2</v>
      </c>
      <c r="E84" s="10">
        <v>7.8399999999999997E-2</v>
      </c>
      <c r="F84" s="10">
        <v>7.5759999999999994E-2</v>
      </c>
      <c r="G84" s="10">
        <v>-3.1300000000000001E-2</v>
      </c>
    </row>
    <row r="85" spans="2:7" x14ac:dyDescent="0.3">
      <c r="B85" s="22">
        <v>43374</v>
      </c>
      <c r="C85" s="10">
        <v>7.8530000000000003E-2</v>
      </c>
      <c r="D85" s="10">
        <v>7.9229999999999995E-2</v>
      </c>
      <c r="E85" s="10">
        <v>8.2100000000000006E-2</v>
      </c>
      <c r="F85" s="10">
        <v>7.7969999999999998E-2</v>
      </c>
      <c r="G85" s="10">
        <v>-2.1299999999999999E-2</v>
      </c>
    </row>
    <row r="86" spans="2:7" x14ac:dyDescent="0.3">
      <c r="B86" s="22">
        <v>43344</v>
      </c>
      <c r="C86" s="10">
        <v>8.0239999999999992E-2</v>
      </c>
      <c r="D86" s="10">
        <v>7.9399999999999998E-2</v>
      </c>
      <c r="E86" s="10">
        <v>8.2309999999999994E-2</v>
      </c>
      <c r="F86" s="10">
        <v>7.9170000000000004E-2</v>
      </c>
      <c r="G86" s="10">
        <v>9.1999999999999998E-3</v>
      </c>
    </row>
    <row r="87" spans="2:7" x14ac:dyDescent="0.3">
      <c r="B87" s="22">
        <v>43313</v>
      </c>
      <c r="C87" s="10">
        <v>7.9509999999999997E-2</v>
      </c>
      <c r="D87" s="10">
        <v>7.7670000000000003E-2</v>
      </c>
      <c r="E87" s="10">
        <v>7.9579999999999998E-2</v>
      </c>
      <c r="F87" s="10">
        <v>7.6810000000000003E-2</v>
      </c>
      <c r="G87" s="10">
        <v>2.3E-2</v>
      </c>
    </row>
    <row r="88" spans="2:7" x14ac:dyDescent="0.3">
      <c r="B88" s="22">
        <v>43282</v>
      </c>
      <c r="C88" s="10">
        <v>7.7719999999999997E-2</v>
      </c>
      <c r="D88" s="10">
        <v>7.8890000000000002E-2</v>
      </c>
      <c r="E88" s="10">
        <v>7.9170000000000004E-2</v>
      </c>
      <c r="F88" s="10">
        <v>7.7229999999999993E-2</v>
      </c>
      <c r="G88" s="10">
        <v>-1.66E-2</v>
      </c>
    </row>
    <row r="89" spans="2:7" x14ac:dyDescent="0.3">
      <c r="B89" s="22">
        <v>43252</v>
      </c>
      <c r="C89" s="10">
        <v>7.9029999999999989E-2</v>
      </c>
      <c r="D89" s="10">
        <v>7.8600000000000003E-2</v>
      </c>
      <c r="E89" s="10">
        <v>0.08</v>
      </c>
      <c r="F89" s="10">
        <v>7.7689999999999995E-2</v>
      </c>
      <c r="G89" s="10">
        <v>9.7999999999999997E-3</v>
      </c>
    </row>
    <row r="90" spans="2:7" x14ac:dyDescent="0.3">
      <c r="B90" s="22">
        <v>43221</v>
      </c>
      <c r="C90" s="10">
        <v>7.8259999999999996E-2</v>
      </c>
      <c r="D90" s="10">
        <v>7.7310000000000004E-2</v>
      </c>
      <c r="E90" s="10">
        <v>7.9450000000000007E-2</v>
      </c>
      <c r="F90" s="10">
        <v>7.553E-2</v>
      </c>
      <c r="G90" s="10">
        <v>7.6E-3</v>
      </c>
    </row>
    <row r="91" spans="2:7" x14ac:dyDescent="0.3">
      <c r="B91" s="22">
        <v>43191</v>
      </c>
      <c r="C91" s="10">
        <v>7.7670000000000003E-2</v>
      </c>
      <c r="D91" s="10">
        <v>7.3330000000000006E-2</v>
      </c>
      <c r="E91" s="10">
        <v>7.7969999999999998E-2</v>
      </c>
      <c r="F91" s="10">
        <v>7.1230000000000002E-2</v>
      </c>
      <c r="G91" s="10">
        <v>4.99E-2</v>
      </c>
    </row>
    <row r="92" spans="2:7" x14ac:dyDescent="0.3">
      <c r="B92" s="22">
        <v>43160</v>
      </c>
      <c r="C92" s="10">
        <v>7.397999999999999E-2</v>
      </c>
      <c r="D92" s="10">
        <v>7.7259999999999995E-2</v>
      </c>
      <c r="E92" s="10">
        <v>7.8E-2</v>
      </c>
      <c r="F92" s="10">
        <v>7.2859999999999994E-2</v>
      </c>
      <c r="G92" s="10">
        <v>-4.2500000000000003E-2</v>
      </c>
    </row>
    <row r="93" spans="2:7" x14ac:dyDescent="0.3">
      <c r="B93" s="22">
        <v>43132</v>
      </c>
      <c r="C93" s="10">
        <v>7.7259999999999995E-2</v>
      </c>
      <c r="D93" s="10">
        <v>7.4459999999999998E-2</v>
      </c>
      <c r="E93" s="10">
        <v>7.8159999999999993E-2</v>
      </c>
      <c r="F93" s="10">
        <v>7.399E-2</v>
      </c>
      <c r="G93" s="10">
        <v>3.9800000000000002E-2</v>
      </c>
    </row>
    <row r="94" spans="2:7" x14ac:dyDescent="0.3">
      <c r="B94" s="22">
        <v>43101</v>
      </c>
      <c r="C94" s="10">
        <v>7.4299999999999991E-2</v>
      </c>
      <c r="D94" s="10">
        <v>7.349E-2</v>
      </c>
      <c r="E94" s="10">
        <v>7.5869999999999993E-2</v>
      </c>
      <c r="F94" s="10">
        <v>7.2430000000000008E-2</v>
      </c>
      <c r="G94" s="10">
        <v>1.4200000000000001E-2</v>
      </c>
    </row>
    <row r="95" spans="2:7" x14ac:dyDescent="0.3">
      <c r="B95" s="22">
        <v>43070</v>
      </c>
      <c r="C95" s="10">
        <v>7.3259999999999992E-2</v>
      </c>
      <c r="D95" s="10">
        <v>7.0879999999999999E-2</v>
      </c>
      <c r="E95" s="10">
        <v>7.4099999999999999E-2</v>
      </c>
      <c r="F95" s="10">
        <v>7.0120000000000002E-2</v>
      </c>
      <c r="G95" s="10">
        <v>3.7999999999999999E-2</v>
      </c>
    </row>
    <row r="96" spans="2:7" x14ac:dyDescent="0.3">
      <c r="B96" s="22">
        <v>43040</v>
      </c>
      <c r="C96" s="10">
        <v>7.0580000000000004E-2</v>
      </c>
      <c r="D96" s="10">
        <v>6.878999999999999E-2</v>
      </c>
      <c r="E96" s="10">
        <v>7.084E-2</v>
      </c>
      <c r="F96" s="10">
        <v>6.8470000000000003E-2</v>
      </c>
      <c r="G96" s="10">
        <v>2.86E-2</v>
      </c>
    </row>
    <row r="97" spans="2:7" x14ac:dyDescent="0.3">
      <c r="B97" s="22">
        <v>43009</v>
      </c>
      <c r="C97" s="10">
        <v>6.862E-2</v>
      </c>
      <c r="D97" s="10">
        <v>6.6740000000000008E-2</v>
      </c>
      <c r="E97" s="10">
        <v>6.898E-2</v>
      </c>
      <c r="F97" s="10">
        <v>6.6250000000000003E-2</v>
      </c>
      <c r="G97" s="10">
        <v>2.9899999999999999E-2</v>
      </c>
    </row>
    <row r="98" spans="2:7" x14ac:dyDescent="0.3">
      <c r="B98" s="22">
        <v>42979</v>
      </c>
      <c r="C98" s="10">
        <v>6.6630000000000009E-2</v>
      </c>
      <c r="D98" s="10">
        <v>6.4920000000000005E-2</v>
      </c>
      <c r="E98" s="10">
        <v>6.7099999999999993E-2</v>
      </c>
      <c r="F98" s="10">
        <v>6.4770000000000008E-2</v>
      </c>
      <c r="G98" s="10">
        <v>2.1100000000000001E-2</v>
      </c>
    </row>
    <row r="99" spans="2:7" x14ac:dyDescent="0.3">
      <c r="B99" s="22">
        <v>42948</v>
      </c>
      <c r="C99" s="10">
        <v>6.5250000000000002E-2</v>
      </c>
      <c r="D99" s="10">
        <v>6.4659999999999995E-2</v>
      </c>
      <c r="E99" s="10">
        <v>6.5759999999999999E-2</v>
      </c>
      <c r="F99" s="10">
        <v>6.4189999999999997E-2</v>
      </c>
      <c r="G99" s="10">
        <v>9.2999999999999992E-3</v>
      </c>
    </row>
    <row r="100" spans="2:7" x14ac:dyDescent="0.3">
      <c r="B100" s="22">
        <v>42917</v>
      </c>
      <c r="C100" s="10">
        <v>6.4649999999999999E-2</v>
      </c>
      <c r="D100" s="10">
        <v>6.6100000000000006E-2</v>
      </c>
      <c r="E100" s="10">
        <v>6.6180000000000003E-2</v>
      </c>
      <c r="F100" s="10">
        <v>6.404E-2</v>
      </c>
      <c r="G100" s="10">
        <v>-7.1000000000000004E-3</v>
      </c>
    </row>
    <row r="101" spans="2:7" x14ac:dyDescent="0.3">
      <c r="B101" s="22">
        <v>42887</v>
      </c>
      <c r="C101" s="10">
        <v>6.5110000000000001E-2</v>
      </c>
      <c r="D101" s="10">
        <v>6.6489999999999994E-2</v>
      </c>
      <c r="E101" s="10">
        <v>6.6720000000000002E-2</v>
      </c>
      <c r="F101" s="10">
        <v>6.4189999999999997E-2</v>
      </c>
      <c r="G101" s="10">
        <v>-2.2499999999999999E-2</v>
      </c>
    </row>
    <row r="102" spans="2:7" x14ac:dyDescent="0.3">
      <c r="B102" s="22">
        <v>42856</v>
      </c>
      <c r="C102" s="10">
        <v>6.6610000000000003E-2</v>
      </c>
      <c r="D102" s="10">
        <v>6.9680000000000006E-2</v>
      </c>
      <c r="E102" s="10">
        <v>6.9940000000000002E-2</v>
      </c>
      <c r="F102" s="10">
        <v>6.6529999999999992E-2</v>
      </c>
      <c r="G102" s="10">
        <v>-4.3099999999999999E-2</v>
      </c>
    </row>
    <row r="103" spans="2:7" x14ac:dyDescent="0.3">
      <c r="B103" s="22">
        <v>42826</v>
      </c>
      <c r="C103" s="10">
        <v>6.9610000000000005E-2</v>
      </c>
      <c r="D103" s="10">
        <v>6.658E-2</v>
      </c>
      <c r="E103" s="10">
        <v>6.9830000000000003E-2</v>
      </c>
      <c r="F103" s="10">
        <v>6.5540000000000001E-2</v>
      </c>
      <c r="G103" s="10">
        <v>4.5499999999999999E-2</v>
      </c>
    </row>
    <row r="104" spans="2:7" x14ac:dyDescent="0.3">
      <c r="B104" s="22">
        <v>42795</v>
      </c>
      <c r="C104" s="10">
        <v>6.658E-2</v>
      </c>
      <c r="D104" s="10">
        <v>6.898E-2</v>
      </c>
      <c r="E104" s="10">
        <v>6.9320000000000007E-2</v>
      </c>
      <c r="F104" s="10">
        <v>6.6650000000000001E-2</v>
      </c>
      <c r="G104" s="10">
        <v>-3.09E-2</v>
      </c>
    </row>
    <row r="105" spans="2:7" x14ac:dyDescent="0.3">
      <c r="B105" s="22">
        <v>42767</v>
      </c>
      <c r="C105" s="10">
        <v>6.8699999999999997E-2</v>
      </c>
      <c r="D105" s="10">
        <v>6.402999999999999E-2</v>
      </c>
      <c r="E105" s="10">
        <v>6.9530000000000008E-2</v>
      </c>
      <c r="F105" s="10">
        <v>6.3759999999999997E-2</v>
      </c>
      <c r="G105" s="10">
        <v>7.2300000000000003E-2</v>
      </c>
    </row>
    <row r="106" spans="2:7" x14ac:dyDescent="0.3">
      <c r="B106" s="22">
        <v>42736</v>
      </c>
      <c r="C106" s="10">
        <v>6.4070000000000002E-2</v>
      </c>
      <c r="D106" s="10">
        <v>6.4829999999999999E-2</v>
      </c>
      <c r="E106" s="10">
        <v>6.4939999999999998E-2</v>
      </c>
      <c r="F106" s="10">
        <v>6.2939999999999996E-2</v>
      </c>
      <c r="G106" s="10">
        <v>-1.61E-2</v>
      </c>
    </row>
    <row r="107" spans="2:7" x14ac:dyDescent="0.3">
      <c r="B107" s="22">
        <v>42705</v>
      </c>
      <c r="C107" s="10">
        <v>6.5119999999999997E-2</v>
      </c>
      <c r="D107" s="10">
        <v>6.2570000000000001E-2</v>
      </c>
      <c r="E107" s="10">
        <v>6.6199999999999995E-2</v>
      </c>
      <c r="F107" s="10">
        <v>6.1689999999999995E-2</v>
      </c>
      <c r="G107" s="10">
        <v>4.3099999999999999E-2</v>
      </c>
    </row>
    <row r="108" spans="2:7" x14ac:dyDescent="0.3">
      <c r="B108" s="22">
        <v>42675</v>
      </c>
      <c r="C108" s="10">
        <v>6.2430000000000006E-2</v>
      </c>
      <c r="D108" s="10">
        <v>6.8729999999999999E-2</v>
      </c>
      <c r="E108" s="10">
        <v>6.9290000000000004E-2</v>
      </c>
      <c r="F108" s="10">
        <v>6.1130000000000004E-2</v>
      </c>
      <c r="G108" s="10">
        <v>-9.3200000000000005E-2</v>
      </c>
    </row>
    <row r="109" spans="2:7" x14ac:dyDescent="0.3">
      <c r="B109" s="22">
        <v>42644</v>
      </c>
      <c r="C109" s="10">
        <v>6.8849999999999995E-2</v>
      </c>
      <c r="D109" s="10">
        <v>6.9560000000000011E-2</v>
      </c>
      <c r="E109" s="10">
        <v>6.9560000000000011E-2</v>
      </c>
      <c r="F109" s="10">
        <v>6.7830000000000001E-2</v>
      </c>
      <c r="G109" s="10">
        <v>-1.0500000000000001E-2</v>
      </c>
    </row>
    <row r="110" spans="2:7" x14ac:dyDescent="0.3">
      <c r="B110" s="22">
        <v>42614</v>
      </c>
      <c r="C110" s="10">
        <v>6.9580000000000003E-2</v>
      </c>
      <c r="D110" s="10">
        <v>7.1040000000000006E-2</v>
      </c>
      <c r="E110" s="10">
        <v>7.1260000000000004E-2</v>
      </c>
      <c r="F110" s="10">
        <v>6.9099999999999995E-2</v>
      </c>
      <c r="G110" s="10">
        <v>-2.1399999999999999E-2</v>
      </c>
    </row>
    <row r="111" spans="2:7" x14ac:dyDescent="0.3">
      <c r="B111" s="22">
        <v>42583</v>
      </c>
      <c r="C111" s="10">
        <v>7.1099999999999997E-2</v>
      </c>
      <c r="D111" s="10">
        <v>7.1379999999999999E-2</v>
      </c>
      <c r="E111" s="10">
        <v>7.2249999999999995E-2</v>
      </c>
      <c r="F111" s="10">
        <v>7.0739999999999997E-2</v>
      </c>
      <c r="G111" s="10">
        <v>-7.4000000000000003E-3</v>
      </c>
    </row>
    <row r="112" spans="2:7" x14ac:dyDescent="0.3">
      <c r="B112" s="22">
        <v>42552</v>
      </c>
      <c r="C112" s="10">
        <v>7.1629999999999999E-2</v>
      </c>
      <c r="D112" s="10">
        <v>7.4410000000000004E-2</v>
      </c>
      <c r="E112" s="10">
        <v>7.4410000000000004E-2</v>
      </c>
      <c r="F112" s="10">
        <v>7.1609999999999993E-2</v>
      </c>
      <c r="G112" s="10">
        <v>-3.8300000000000001E-2</v>
      </c>
    </row>
    <row r="113" spans="2:7" x14ac:dyDescent="0.3">
      <c r="B113" s="22">
        <v>42522</v>
      </c>
      <c r="C113" s="10">
        <v>7.4480000000000005E-2</v>
      </c>
      <c r="D113" s="10">
        <v>7.4730000000000005E-2</v>
      </c>
      <c r="E113" s="10">
        <v>7.5459999999999999E-2</v>
      </c>
      <c r="F113" s="10">
        <v>7.4209999999999998E-2</v>
      </c>
      <c r="G113" s="10">
        <v>-3.0999999999999999E-3</v>
      </c>
    </row>
    <row r="114" spans="2:7" x14ac:dyDescent="0.3">
      <c r="B114" s="22">
        <v>42491</v>
      </c>
      <c r="C114" s="10">
        <v>7.4709999999999999E-2</v>
      </c>
      <c r="D114" s="10">
        <v>7.4389999999999998E-2</v>
      </c>
      <c r="E114" s="10">
        <v>7.4990000000000001E-2</v>
      </c>
      <c r="F114" s="10">
        <v>7.4189999999999992E-2</v>
      </c>
      <c r="G114" s="10">
        <v>4.7999999999999996E-3</v>
      </c>
    </row>
    <row r="115" spans="2:7" x14ac:dyDescent="0.3">
      <c r="B115" s="22">
        <v>42461</v>
      </c>
      <c r="C115" s="10">
        <v>7.4349999999999999E-2</v>
      </c>
      <c r="D115" s="10">
        <v>7.4509999999999993E-2</v>
      </c>
      <c r="E115" s="10">
        <v>7.4959999999999999E-2</v>
      </c>
      <c r="F115" s="10">
        <v>7.3529999999999998E-2</v>
      </c>
      <c r="G115" s="10">
        <v>-3.2000000000000002E-3</v>
      </c>
    </row>
    <row r="116" spans="2:7" x14ac:dyDescent="0.3">
      <c r="B116" s="22">
        <v>42430</v>
      </c>
      <c r="C116" s="10">
        <v>7.458999999999999E-2</v>
      </c>
      <c r="D116" s="10">
        <v>7.6299999999999993E-2</v>
      </c>
      <c r="E116" s="10">
        <v>7.6719999999999997E-2</v>
      </c>
      <c r="F116" s="10">
        <v>7.4529999999999999E-2</v>
      </c>
      <c r="G116" s="10">
        <v>-2.1499999999999998E-2</v>
      </c>
    </row>
    <row r="117" spans="2:7" x14ac:dyDescent="0.3">
      <c r="B117" s="22">
        <v>42401</v>
      </c>
      <c r="C117" s="10">
        <v>7.6230000000000006E-2</v>
      </c>
      <c r="D117" s="10">
        <v>7.7929999999999999E-2</v>
      </c>
      <c r="E117" s="10">
        <v>7.8789999999999999E-2</v>
      </c>
      <c r="F117" s="10">
        <v>7.6170000000000002E-2</v>
      </c>
      <c r="G117" s="10">
        <v>-2.01E-2</v>
      </c>
    </row>
    <row r="118" spans="2:7" x14ac:dyDescent="0.3">
      <c r="B118" s="22">
        <v>42370</v>
      </c>
      <c r="C118" s="10">
        <v>7.7789999999999998E-2</v>
      </c>
      <c r="D118" s="10">
        <v>7.7539999999999998E-2</v>
      </c>
      <c r="E118" s="10">
        <v>7.8320000000000001E-2</v>
      </c>
      <c r="F118" s="10">
        <v>7.707E-2</v>
      </c>
      <c r="G118" s="10">
        <v>2.7000000000000001E-3</v>
      </c>
    </row>
    <row r="119" spans="2:7" x14ac:dyDescent="0.3">
      <c r="B119" s="22">
        <v>42339</v>
      </c>
      <c r="C119" s="10">
        <v>7.7579999999999996E-2</v>
      </c>
      <c r="D119" s="10">
        <v>7.7850000000000003E-2</v>
      </c>
      <c r="E119" s="10">
        <v>7.8179999999999999E-2</v>
      </c>
      <c r="F119" s="10">
        <v>7.6859999999999998E-2</v>
      </c>
      <c r="G119" s="10">
        <v>-3.5999999999999999E-3</v>
      </c>
    </row>
    <row r="120" spans="2:7" x14ac:dyDescent="0.3">
      <c r="B120" s="22">
        <v>42309</v>
      </c>
      <c r="C120" s="10">
        <v>7.7859999999999999E-2</v>
      </c>
      <c r="D120" s="10">
        <v>7.6399999999999996E-2</v>
      </c>
      <c r="E120" s="10">
        <v>7.7880000000000005E-2</v>
      </c>
      <c r="F120" s="10">
        <v>7.6100000000000001E-2</v>
      </c>
      <c r="G120" s="10">
        <v>1.9099999999999999E-2</v>
      </c>
    </row>
    <row r="121" spans="2:7" x14ac:dyDescent="0.3">
      <c r="B121" s="22">
        <v>42278</v>
      </c>
      <c r="C121" s="10">
        <v>7.6399999999999996E-2</v>
      </c>
      <c r="D121" s="10">
        <v>7.5270000000000004E-2</v>
      </c>
      <c r="E121" s="10">
        <v>7.6479999999999992E-2</v>
      </c>
      <c r="F121" s="10">
        <v>7.4959999999999999E-2</v>
      </c>
      <c r="G121" s="10">
        <v>1.34E-2</v>
      </c>
    </row>
    <row r="122" spans="2:7" x14ac:dyDescent="0.3">
      <c r="B122" s="22">
        <v>42248</v>
      </c>
      <c r="C122" s="10">
        <v>7.5389999999999999E-2</v>
      </c>
      <c r="D122" s="10">
        <v>7.7929999999999999E-2</v>
      </c>
      <c r="E122" s="10">
        <v>7.8030000000000002E-2</v>
      </c>
      <c r="F122" s="10">
        <v>7.5270000000000004E-2</v>
      </c>
      <c r="G122" s="10">
        <v>-3.15E-2</v>
      </c>
    </row>
    <row r="123" spans="2:7" x14ac:dyDescent="0.3">
      <c r="B123" s="22">
        <v>42217</v>
      </c>
      <c r="C123" s="10">
        <v>7.7839999999999993E-2</v>
      </c>
      <c r="D123" s="10">
        <v>7.7880000000000005E-2</v>
      </c>
      <c r="E123" s="10">
        <v>7.911E-2</v>
      </c>
      <c r="F123" s="10">
        <v>7.7119999999999994E-2</v>
      </c>
      <c r="G123" s="10">
        <v>-2.8E-3</v>
      </c>
    </row>
    <row r="124" spans="2:7" x14ac:dyDescent="0.3">
      <c r="B124" s="22">
        <v>42186</v>
      </c>
      <c r="C124" s="10">
        <v>7.8060000000000004E-2</v>
      </c>
      <c r="D124" s="10">
        <v>7.8649999999999998E-2</v>
      </c>
      <c r="E124" s="10">
        <v>7.9089999999999994E-2</v>
      </c>
      <c r="F124" s="10">
        <v>7.7249999999999999E-2</v>
      </c>
      <c r="G124" s="10">
        <v>-7.0000000000000001E-3</v>
      </c>
    </row>
    <row r="125" spans="2:7" x14ac:dyDescent="0.3">
      <c r="B125" s="22">
        <v>42156</v>
      </c>
      <c r="C125" s="10">
        <v>7.8609999999999999E-2</v>
      </c>
      <c r="D125" s="10">
        <v>7.8149999999999997E-2</v>
      </c>
      <c r="E125" s="10">
        <v>8.0169999999999991E-2</v>
      </c>
      <c r="F125" s="10">
        <v>7.689E-2</v>
      </c>
      <c r="G125" s="10">
        <v>5.8999999999999999E-3</v>
      </c>
    </row>
    <row r="126" spans="2:7" x14ac:dyDescent="0.3">
      <c r="B126" s="22">
        <v>42125</v>
      </c>
      <c r="C126" s="10">
        <v>7.8149999999999997E-2</v>
      </c>
      <c r="D126" s="10">
        <v>7.8750000000000001E-2</v>
      </c>
      <c r="E126" s="10">
        <v>8.0070000000000002E-2</v>
      </c>
      <c r="F126" s="10">
        <v>7.8090000000000007E-2</v>
      </c>
      <c r="G126" s="10">
        <v>-5.7000000000000002E-3</v>
      </c>
    </row>
    <row r="127" spans="2:7" x14ac:dyDescent="0.3">
      <c r="B127" s="22">
        <v>42095</v>
      </c>
      <c r="C127" s="10">
        <v>7.8600000000000003E-2</v>
      </c>
      <c r="D127" s="10">
        <v>7.7220000000000011E-2</v>
      </c>
      <c r="E127" s="10">
        <v>7.8730000000000008E-2</v>
      </c>
      <c r="F127" s="10">
        <v>7.7109999999999998E-2</v>
      </c>
      <c r="G127" s="10">
        <v>1.5800000000000002E-2</v>
      </c>
    </row>
    <row r="128" spans="2:7" x14ac:dyDescent="0.3">
      <c r="B128" s="22">
        <v>42064</v>
      </c>
      <c r="C128" s="10">
        <v>7.7380000000000004E-2</v>
      </c>
      <c r="D128" s="10">
        <v>7.7380000000000004E-2</v>
      </c>
      <c r="E128" s="10">
        <v>7.8109999999999999E-2</v>
      </c>
      <c r="F128" s="10">
        <v>7.6479999999999992E-2</v>
      </c>
      <c r="G128" s="10">
        <v>1.8E-3</v>
      </c>
    </row>
    <row r="129" spans="2:7" x14ac:dyDescent="0.3">
      <c r="B129" s="22">
        <v>42036</v>
      </c>
      <c r="C129" s="10">
        <v>7.7240000000000003E-2</v>
      </c>
      <c r="D129" s="10">
        <v>7.6999999999999999E-2</v>
      </c>
      <c r="E129" s="10">
        <v>7.7519999999999992E-2</v>
      </c>
      <c r="F129" s="10">
        <v>7.6399999999999996E-2</v>
      </c>
      <c r="G129" s="10">
        <v>4.3E-3</v>
      </c>
    </row>
    <row r="130" spans="2:7" x14ac:dyDescent="0.3">
      <c r="B130" s="22">
        <v>42005</v>
      </c>
      <c r="C130" s="10">
        <v>7.6909999999999992E-2</v>
      </c>
      <c r="D130" s="10">
        <v>7.8520000000000006E-2</v>
      </c>
      <c r="E130" s="10">
        <v>7.918E-2</v>
      </c>
      <c r="F130" s="10">
        <v>7.6719999999999997E-2</v>
      </c>
      <c r="G130" s="10">
        <v>-2.0899999999999998E-2</v>
      </c>
    </row>
    <row r="131" spans="2:7" x14ac:dyDescent="0.3">
      <c r="B131" s="22">
        <v>41974</v>
      </c>
      <c r="C131" s="10">
        <v>7.8550000000000009E-2</v>
      </c>
      <c r="D131" s="10">
        <v>8.0579999999999999E-2</v>
      </c>
      <c r="E131" s="10">
        <v>8.1099999999999992E-2</v>
      </c>
      <c r="F131" s="10">
        <v>7.7800000000000008E-2</v>
      </c>
      <c r="G131" s="10">
        <v>-2.87E-2</v>
      </c>
    </row>
    <row r="132" spans="2:7" x14ac:dyDescent="0.3">
      <c r="B132" s="22">
        <v>41944</v>
      </c>
      <c r="C132" s="10">
        <v>8.0869999999999997E-2</v>
      </c>
      <c r="D132" s="10">
        <v>8.2619999999999999E-2</v>
      </c>
      <c r="E132" s="10">
        <v>8.2659999999999997E-2</v>
      </c>
      <c r="F132" s="10">
        <v>8.0589999999999995E-2</v>
      </c>
      <c r="G132" s="10">
        <v>-2.3099999999999999E-2</v>
      </c>
    </row>
    <row r="133" spans="2:7" x14ac:dyDescent="0.3">
      <c r="B133" s="22">
        <v>41913</v>
      </c>
      <c r="C133" s="10">
        <v>8.2780000000000006E-2</v>
      </c>
      <c r="D133" s="10">
        <v>8.5109999999999991E-2</v>
      </c>
      <c r="E133" s="10">
        <v>8.5109999999999991E-2</v>
      </c>
      <c r="F133" s="10">
        <v>8.2550000000000012E-2</v>
      </c>
      <c r="G133" s="10">
        <v>-2.7400000000000001E-2</v>
      </c>
    </row>
    <row r="134" spans="2:7" x14ac:dyDescent="0.3">
      <c r="B134" s="22">
        <v>41883</v>
      </c>
      <c r="C134" s="10">
        <v>8.5109999999999991E-2</v>
      </c>
      <c r="D134" s="10">
        <v>8.5630000000000012E-2</v>
      </c>
      <c r="E134" s="10">
        <v>8.5630000000000012E-2</v>
      </c>
      <c r="F134" s="10">
        <v>8.4229999999999999E-2</v>
      </c>
      <c r="G134" s="10">
        <v>-5.5999999999999999E-3</v>
      </c>
    </row>
    <row r="135" spans="2:7" x14ac:dyDescent="0.3">
      <c r="B135" s="22">
        <v>41852</v>
      </c>
      <c r="C135" s="10">
        <v>8.5589999999999999E-2</v>
      </c>
      <c r="D135" s="10">
        <v>8.7469999999999992E-2</v>
      </c>
      <c r="E135" s="10">
        <v>8.8900000000000007E-2</v>
      </c>
      <c r="F135" s="10">
        <v>8.478999999999999E-2</v>
      </c>
      <c r="G135" s="10">
        <v>-1.8200000000000001E-2</v>
      </c>
    </row>
    <row r="136" spans="2:7" x14ac:dyDescent="0.3">
      <c r="B136" s="22">
        <v>41821</v>
      </c>
      <c r="C136" s="10">
        <v>8.7179999999999994E-2</v>
      </c>
      <c r="D136" s="10">
        <v>8.7390000000000009E-2</v>
      </c>
      <c r="E136" s="10">
        <v>8.8399999999999992E-2</v>
      </c>
      <c r="F136" s="10">
        <v>8.634E-2</v>
      </c>
      <c r="G136" s="10">
        <v>-3.0000000000000001E-3</v>
      </c>
    </row>
    <row r="137" spans="2:7" x14ac:dyDescent="0.3">
      <c r="B137" s="22">
        <v>41791</v>
      </c>
      <c r="C137" s="10">
        <v>8.7440000000000004E-2</v>
      </c>
      <c r="D137" s="10">
        <v>8.6519999999999986E-2</v>
      </c>
      <c r="E137" s="10">
        <v>8.7849999999999998E-2</v>
      </c>
      <c r="F137" s="10">
        <v>8.4970000000000004E-2</v>
      </c>
      <c r="G137" s="10">
        <v>1.15E-2</v>
      </c>
    </row>
    <row r="138" spans="2:7" x14ac:dyDescent="0.3">
      <c r="B138" s="22">
        <v>41760</v>
      </c>
      <c r="C138" s="10">
        <v>8.6449999999999999E-2</v>
      </c>
      <c r="D138" s="10">
        <v>8.8160000000000002E-2</v>
      </c>
      <c r="E138" s="10">
        <v>8.8749999999999996E-2</v>
      </c>
      <c r="F138" s="10">
        <v>8.5999999999999993E-2</v>
      </c>
      <c r="G138" s="10">
        <v>-2.07E-2</v>
      </c>
    </row>
    <row r="139" spans="2:7" x14ac:dyDescent="0.3">
      <c r="B139" s="22">
        <v>41730</v>
      </c>
      <c r="C139" s="10">
        <v>8.8279999999999997E-2</v>
      </c>
      <c r="D139" s="10">
        <v>8.863E-2</v>
      </c>
      <c r="E139" s="10">
        <v>9.1289999999999996E-2</v>
      </c>
      <c r="F139" s="10">
        <v>8.8109999999999994E-2</v>
      </c>
      <c r="G139" s="10">
        <v>2.7000000000000001E-3</v>
      </c>
    </row>
    <row r="140" spans="2:7" x14ac:dyDescent="0.3">
      <c r="B140" s="22">
        <v>41699</v>
      </c>
      <c r="C140" s="10">
        <v>8.8040000000000007E-2</v>
      </c>
      <c r="D140" s="10">
        <v>8.8650000000000007E-2</v>
      </c>
      <c r="E140" s="10">
        <v>8.925000000000001E-2</v>
      </c>
      <c r="F140" s="10">
        <v>8.695E-2</v>
      </c>
      <c r="G140" s="10">
        <v>-6.4999999999999997E-3</v>
      </c>
    </row>
    <row r="141" spans="2:7" x14ac:dyDescent="0.3">
      <c r="B141" s="22">
        <v>41671</v>
      </c>
      <c r="C141" s="10">
        <v>8.8620000000000004E-2</v>
      </c>
      <c r="D141" s="10">
        <v>8.7739999999999985E-2</v>
      </c>
      <c r="E141" s="10">
        <v>8.9429999999999996E-2</v>
      </c>
      <c r="F141" s="10">
        <v>8.659E-2</v>
      </c>
      <c r="G141" s="10">
        <v>1.0500000000000001E-2</v>
      </c>
    </row>
    <row r="142" spans="2:7" x14ac:dyDescent="0.3">
      <c r="B142" s="22">
        <v>41640</v>
      </c>
      <c r="C142" s="10">
        <v>8.77E-2</v>
      </c>
      <c r="D142" s="10">
        <v>8.8279999999999997E-2</v>
      </c>
      <c r="E142" s="10">
        <v>8.8779999999999998E-2</v>
      </c>
      <c r="F142" s="10">
        <v>8.4930000000000005E-2</v>
      </c>
      <c r="G142" s="10">
        <v>-5.7000000000000002E-3</v>
      </c>
    </row>
    <row r="143" spans="2:7" x14ac:dyDescent="0.3">
      <c r="B143" s="22">
        <v>41609</v>
      </c>
      <c r="C143" s="10">
        <v>8.8200000000000001E-2</v>
      </c>
      <c r="D143" s="10">
        <v>9.0579999999999994E-2</v>
      </c>
      <c r="E143" s="10">
        <v>9.1899999999999996E-2</v>
      </c>
      <c r="F143" s="10">
        <v>8.7430000000000008E-2</v>
      </c>
      <c r="G143" s="10">
        <v>-2.4799999999999999E-2</v>
      </c>
    </row>
    <row r="144" spans="2:7" x14ac:dyDescent="0.3">
      <c r="B144" s="22">
        <v>41579</v>
      </c>
      <c r="C144" s="10">
        <v>9.0440000000000006E-2</v>
      </c>
      <c r="D144" s="10">
        <v>8.657999999999999E-2</v>
      </c>
      <c r="E144" s="10">
        <v>9.1440000000000007E-2</v>
      </c>
      <c r="F144" s="10">
        <v>8.6379999999999998E-2</v>
      </c>
      <c r="G144" s="10">
        <v>4.8599999999999997E-2</v>
      </c>
    </row>
    <row r="145" spans="2:7" x14ac:dyDescent="0.3">
      <c r="B145" s="22">
        <v>41548</v>
      </c>
      <c r="C145" s="10">
        <v>8.6249999999999993E-2</v>
      </c>
      <c r="D145" s="10">
        <v>8.7129999999999985E-2</v>
      </c>
      <c r="E145" s="10">
        <v>8.7430000000000008E-2</v>
      </c>
      <c r="F145" s="10">
        <v>8.3960000000000007E-2</v>
      </c>
      <c r="G145" s="10">
        <v>-1.61E-2</v>
      </c>
    </row>
    <row r="146" spans="2:7" x14ac:dyDescent="0.3">
      <c r="B146" s="22">
        <v>41518</v>
      </c>
      <c r="C146" s="10">
        <v>8.7660000000000002E-2</v>
      </c>
      <c r="D146" s="10">
        <v>8.5879999999999998E-2</v>
      </c>
      <c r="E146" s="10">
        <v>8.9009999999999992E-2</v>
      </c>
      <c r="F146" s="10">
        <v>8.1630000000000008E-2</v>
      </c>
      <c r="G146" s="10">
        <v>1.9800000000000002E-2</v>
      </c>
    </row>
    <row r="147" spans="2:7" x14ac:dyDescent="0.3">
      <c r="B147" s="22">
        <v>41487</v>
      </c>
      <c r="C147" s="10">
        <v>8.5959999999999995E-2</v>
      </c>
      <c r="D147" s="10">
        <v>8.1720000000000001E-2</v>
      </c>
      <c r="E147" s="10">
        <v>9.4839999999999994E-2</v>
      </c>
      <c r="F147" s="10">
        <v>8.0380000000000007E-2</v>
      </c>
      <c r="G147" s="10">
        <v>5.1900000000000002E-2</v>
      </c>
    </row>
    <row r="148" spans="2:7" x14ac:dyDescent="0.3">
      <c r="B148" s="22">
        <v>41456</v>
      </c>
      <c r="C148" s="10">
        <v>8.1720000000000001E-2</v>
      </c>
      <c r="D148" s="10">
        <v>7.4630000000000002E-2</v>
      </c>
      <c r="E148" s="10">
        <v>8.4809999999999997E-2</v>
      </c>
      <c r="F148" s="10">
        <v>7.4090000000000003E-2</v>
      </c>
      <c r="G148" s="10">
        <v>9.8500000000000004E-2</v>
      </c>
    </row>
    <row r="149" spans="2:7" x14ac:dyDescent="0.3">
      <c r="B149" s="22">
        <v>41426</v>
      </c>
      <c r="C149" s="10">
        <v>7.4389999999999998E-2</v>
      </c>
      <c r="D149" s="10">
        <v>7.424E-2</v>
      </c>
      <c r="E149" s="10">
        <v>7.5920000000000001E-2</v>
      </c>
      <c r="F149" s="10">
        <v>7.1919999999999998E-2</v>
      </c>
      <c r="G149" s="10">
        <v>-5.0000000000000001E-4</v>
      </c>
    </row>
    <row r="150" spans="2:7" x14ac:dyDescent="0.3">
      <c r="B150" s="22">
        <v>41395</v>
      </c>
      <c r="C150" s="10">
        <v>7.4429999999999996E-2</v>
      </c>
      <c r="D150" s="10">
        <v>7.7130000000000004E-2</v>
      </c>
      <c r="E150" s="10">
        <v>7.8009999999999996E-2</v>
      </c>
      <c r="F150" s="10">
        <v>7.3150000000000007E-2</v>
      </c>
      <c r="G150" s="10">
        <v>-3.73E-2</v>
      </c>
    </row>
    <row r="151" spans="2:7" x14ac:dyDescent="0.3">
      <c r="B151" s="22">
        <v>41365</v>
      </c>
      <c r="C151" s="10">
        <v>7.7310000000000004E-2</v>
      </c>
      <c r="D151" s="10">
        <v>7.9600000000000004E-2</v>
      </c>
      <c r="E151" s="10">
        <v>8.0070000000000002E-2</v>
      </c>
      <c r="F151" s="10">
        <v>7.7109999999999998E-2</v>
      </c>
      <c r="G151" s="10">
        <v>-2.7699999999999999E-2</v>
      </c>
    </row>
    <row r="152" spans="2:7" x14ac:dyDescent="0.3">
      <c r="B152" s="22">
        <v>41334</v>
      </c>
      <c r="C152" s="10">
        <v>7.9509999999999997E-2</v>
      </c>
      <c r="D152" s="10">
        <v>7.8550000000000009E-2</v>
      </c>
      <c r="E152" s="10">
        <v>7.9909999999999995E-2</v>
      </c>
      <c r="F152" s="10">
        <v>7.8320000000000001E-2</v>
      </c>
      <c r="G152" s="10">
        <v>0.01</v>
      </c>
    </row>
    <row r="153" spans="2:7" x14ac:dyDescent="0.3">
      <c r="B153" s="22">
        <v>41306</v>
      </c>
      <c r="C153" s="10">
        <v>7.8719999999999998E-2</v>
      </c>
      <c r="D153" s="10">
        <v>7.9250000000000001E-2</v>
      </c>
      <c r="E153" s="10">
        <v>7.9390000000000002E-2</v>
      </c>
      <c r="F153" s="10">
        <v>7.782E-2</v>
      </c>
      <c r="G153" s="10">
        <v>-5.1000000000000004E-3</v>
      </c>
    </row>
    <row r="154" spans="2:7" x14ac:dyDescent="0.3">
      <c r="B154" s="22">
        <v>41275</v>
      </c>
      <c r="C154" s="10">
        <v>7.9119999999999996E-2</v>
      </c>
      <c r="D154" s="10">
        <v>7.9839999999999994E-2</v>
      </c>
      <c r="E154" s="10">
        <v>8.0100000000000005E-2</v>
      </c>
      <c r="F154" s="10">
        <v>7.7910000000000007E-2</v>
      </c>
      <c r="G154" s="10">
        <v>-1.7000000000000001E-2</v>
      </c>
    </row>
    <row r="155" spans="2:7" x14ac:dyDescent="0.3">
      <c r="B155" s="22">
        <v>41244</v>
      </c>
      <c r="C155" s="10">
        <v>8.0489999999999992E-2</v>
      </c>
      <c r="D155" s="10">
        <v>8.1689999999999999E-2</v>
      </c>
      <c r="E155" s="10">
        <v>8.1869999999999998E-2</v>
      </c>
      <c r="F155" s="10">
        <v>8.0350000000000005E-2</v>
      </c>
      <c r="G155" s="10">
        <v>-1.54E-2</v>
      </c>
    </row>
    <row r="156" spans="2:7" x14ac:dyDescent="0.3">
      <c r="B156" s="22">
        <v>41214</v>
      </c>
      <c r="C156" s="10">
        <v>8.1750000000000003E-2</v>
      </c>
      <c r="D156" s="10">
        <v>8.2210000000000005E-2</v>
      </c>
      <c r="E156" s="10">
        <v>8.2369999999999999E-2</v>
      </c>
      <c r="F156" s="10">
        <v>8.1630000000000008E-2</v>
      </c>
      <c r="G156" s="10">
        <v>-4.8999999999999998E-3</v>
      </c>
    </row>
    <row r="157" spans="2:7" x14ac:dyDescent="0.3">
      <c r="B157" s="22">
        <v>41183</v>
      </c>
      <c r="C157" s="10">
        <v>8.2150000000000001E-2</v>
      </c>
      <c r="D157" s="10">
        <v>8.1470000000000001E-2</v>
      </c>
      <c r="E157" s="10">
        <v>8.2210000000000005E-2</v>
      </c>
      <c r="F157" s="10">
        <v>8.1140000000000004E-2</v>
      </c>
      <c r="G157" s="10">
        <v>8.0999999999999996E-3</v>
      </c>
    </row>
    <row r="158" spans="2:7" x14ac:dyDescent="0.3">
      <c r="B158" s="22">
        <v>41153</v>
      </c>
      <c r="C158" s="10">
        <v>8.1489999999999993E-2</v>
      </c>
      <c r="D158" s="10">
        <v>8.2360000000000003E-2</v>
      </c>
      <c r="E158" s="10">
        <v>8.2360000000000003E-2</v>
      </c>
      <c r="F158" s="10">
        <v>8.1180000000000002E-2</v>
      </c>
      <c r="G158" s="10">
        <v>-1.12E-2</v>
      </c>
    </row>
    <row r="159" spans="2:7" x14ac:dyDescent="0.3">
      <c r="B159" s="22">
        <v>41122</v>
      </c>
      <c r="C159" s="10">
        <v>8.2409999999999997E-2</v>
      </c>
      <c r="D159" s="10">
        <v>8.2430000000000003E-2</v>
      </c>
      <c r="E159" s="10">
        <v>8.2799999999999999E-2</v>
      </c>
      <c r="F159" s="10">
        <v>8.1079999999999999E-2</v>
      </c>
      <c r="G159" s="10">
        <v>-5.0000000000000001E-4</v>
      </c>
    </row>
    <row r="160" spans="2:7" x14ac:dyDescent="0.3">
      <c r="B160" s="22">
        <v>41091</v>
      </c>
      <c r="C160" s="10">
        <v>8.2449999999999996E-2</v>
      </c>
      <c r="D160" s="10">
        <v>8.4339999999999998E-2</v>
      </c>
      <c r="E160" s="10">
        <v>8.4339999999999998E-2</v>
      </c>
      <c r="F160" s="10">
        <v>8.0180000000000001E-2</v>
      </c>
      <c r="G160" s="10">
        <v>-1.61E-2</v>
      </c>
    </row>
    <row r="161" spans="2:7" x14ac:dyDescent="0.3">
      <c r="B161" s="22">
        <v>41061</v>
      </c>
      <c r="C161" s="10">
        <v>8.3800000000000013E-2</v>
      </c>
      <c r="D161" s="10">
        <v>8.3589999999999998E-2</v>
      </c>
      <c r="E161" s="10">
        <v>8.4589999999999999E-2</v>
      </c>
      <c r="F161" s="10">
        <v>8.2449999999999996E-2</v>
      </c>
      <c r="G161" s="10">
        <v>4.0000000000000002E-4</v>
      </c>
    </row>
    <row r="162" spans="2:7" x14ac:dyDescent="0.3">
      <c r="B162" s="22">
        <v>41030</v>
      </c>
      <c r="C162" s="10">
        <v>8.3770000000000011E-2</v>
      </c>
      <c r="D162" s="10">
        <v>8.7029999999999996E-2</v>
      </c>
      <c r="E162" s="10">
        <v>8.7029999999999996E-2</v>
      </c>
      <c r="F162" s="10">
        <v>8.3640000000000006E-2</v>
      </c>
      <c r="G162" s="10">
        <v>-3.39E-2</v>
      </c>
    </row>
    <row r="163" spans="2:7" x14ac:dyDescent="0.3">
      <c r="B163" s="22">
        <v>41000</v>
      </c>
      <c r="C163" s="10">
        <v>8.6709999999999995E-2</v>
      </c>
      <c r="D163" s="10">
        <v>8.5139999999999993E-2</v>
      </c>
      <c r="E163" s="10">
        <v>8.7569999999999995E-2</v>
      </c>
      <c r="F163" s="10">
        <v>8.3119999999999999E-2</v>
      </c>
      <c r="G163" s="10">
        <v>1.15E-2</v>
      </c>
    </row>
    <row r="164" spans="2:7" x14ac:dyDescent="0.3">
      <c r="B164" s="22">
        <v>40969</v>
      </c>
      <c r="C164" s="10">
        <v>8.5719999999999991E-2</v>
      </c>
      <c r="D164" s="10">
        <v>8.2089999999999996E-2</v>
      </c>
      <c r="E164" s="10">
        <v>8.6300000000000002E-2</v>
      </c>
      <c r="F164" s="10">
        <v>8.1989999999999993E-2</v>
      </c>
      <c r="G164" s="10">
        <v>4.5499999999999999E-2</v>
      </c>
    </row>
    <row r="165" spans="2:7" x14ac:dyDescent="0.3">
      <c r="B165" s="22">
        <v>40940</v>
      </c>
      <c r="C165" s="10">
        <v>8.1989999999999993E-2</v>
      </c>
      <c r="D165" s="10">
        <v>8.1329999999999986E-2</v>
      </c>
      <c r="E165" s="10">
        <v>8.2729999999999998E-2</v>
      </c>
      <c r="F165" s="10">
        <v>8.0990000000000006E-2</v>
      </c>
      <c r="G165" s="10">
        <v>-8.2000000000000007E-3</v>
      </c>
    </row>
    <row r="166" spans="2:7" x14ac:dyDescent="0.3">
      <c r="B166" s="22">
        <v>40909</v>
      </c>
      <c r="C166" s="10">
        <v>8.2669999999999993E-2</v>
      </c>
      <c r="D166" s="10">
        <v>8.632999999999999E-2</v>
      </c>
      <c r="E166" s="10">
        <v>8.632999999999999E-2</v>
      </c>
      <c r="F166" s="10">
        <v>8.1089999999999995E-2</v>
      </c>
      <c r="G166" s="10">
        <v>-3.4200000000000001E-2</v>
      </c>
    </row>
    <row r="167" spans="2:7" x14ac:dyDescent="0.3">
      <c r="B167" s="22">
        <v>40878</v>
      </c>
      <c r="C167" s="10">
        <v>8.5600000000000009E-2</v>
      </c>
      <c r="D167" s="10">
        <v>8.7400000000000005E-2</v>
      </c>
      <c r="E167" s="10">
        <v>8.7400000000000005E-2</v>
      </c>
      <c r="F167" s="10">
        <v>8.276E-2</v>
      </c>
      <c r="G167" s="10">
        <v>-2.0400000000000001E-2</v>
      </c>
    </row>
    <row r="168" spans="2:7" x14ac:dyDescent="0.3">
      <c r="B168" s="22">
        <v>40848</v>
      </c>
      <c r="C168" s="10">
        <v>8.7379999999999999E-2</v>
      </c>
      <c r="D168" s="10">
        <v>8.9560000000000001E-2</v>
      </c>
      <c r="E168" s="10">
        <v>9.1319999999999998E-2</v>
      </c>
      <c r="F168" s="10">
        <v>8.7300000000000003E-2</v>
      </c>
      <c r="G168" s="10">
        <v>-1.5900000000000001E-2</v>
      </c>
    </row>
    <row r="169" spans="2:7" x14ac:dyDescent="0.3">
      <c r="B169" s="22">
        <v>40817</v>
      </c>
      <c r="C169" s="10">
        <v>8.8789999999999994E-2</v>
      </c>
      <c r="D169" s="10">
        <v>8.5059999999999997E-2</v>
      </c>
      <c r="E169" s="10">
        <v>8.8789999999999994E-2</v>
      </c>
      <c r="F169" s="10">
        <v>8.5059999999999997E-2</v>
      </c>
      <c r="G169" s="10">
        <v>5.1799999999999999E-2</v>
      </c>
    </row>
    <row r="170" spans="2:7" x14ac:dyDescent="0.3">
      <c r="B170" s="22">
        <v>40787</v>
      </c>
      <c r="C170" s="10">
        <v>8.4419999999999995E-2</v>
      </c>
      <c r="D170" s="10">
        <v>8.3379999999999996E-2</v>
      </c>
      <c r="E170" s="10">
        <v>8.4419999999999995E-2</v>
      </c>
      <c r="F170" s="10">
        <v>8.2810000000000009E-2</v>
      </c>
      <c r="G170" s="10">
        <v>1.4800000000000001E-2</v>
      </c>
    </row>
    <row r="171" spans="2:7" x14ac:dyDescent="0.3">
      <c r="B171" s="22">
        <v>40756</v>
      </c>
      <c r="C171" s="10">
        <v>8.3190000000000014E-2</v>
      </c>
      <c r="D171" s="10">
        <v>8.4280000000000008E-2</v>
      </c>
      <c r="E171" s="10">
        <v>8.4610000000000005E-2</v>
      </c>
      <c r="F171" s="10">
        <v>8.1920000000000007E-2</v>
      </c>
      <c r="G171" s="10">
        <v>-1.6E-2</v>
      </c>
    </row>
    <row r="172" spans="2:7" x14ac:dyDescent="0.3">
      <c r="B172" s="22">
        <v>40725</v>
      </c>
      <c r="C172" s="10">
        <v>8.4540000000000004E-2</v>
      </c>
      <c r="D172" s="10">
        <v>8.3569999999999992E-2</v>
      </c>
      <c r="E172" s="10">
        <v>8.471999999999999E-2</v>
      </c>
      <c r="F172" s="10">
        <v>8.2379999999999995E-2</v>
      </c>
      <c r="G172" s="10">
        <v>1.54E-2</v>
      </c>
    </row>
    <row r="173" spans="2:7" x14ac:dyDescent="0.3">
      <c r="B173" s="22">
        <v>40695</v>
      </c>
      <c r="C173" s="10">
        <v>8.3260000000000001E-2</v>
      </c>
      <c r="D173" s="10">
        <v>8.3569999999999992E-2</v>
      </c>
      <c r="E173" s="10">
        <v>8.3970000000000003E-2</v>
      </c>
      <c r="F173" s="10">
        <v>8.1959999999999991E-2</v>
      </c>
      <c r="G173" s="10">
        <v>-1.01E-2</v>
      </c>
    </row>
    <row r="174" spans="2:7" x14ac:dyDescent="0.3">
      <c r="B174" s="22">
        <v>40664</v>
      </c>
      <c r="C174" s="10">
        <v>8.410999999999999E-2</v>
      </c>
      <c r="D174" s="10">
        <v>8.1479999999999997E-2</v>
      </c>
      <c r="E174" s="10">
        <v>8.4610000000000005E-2</v>
      </c>
      <c r="F174" s="10">
        <v>8.138999999999999E-2</v>
      </c>
      <c r="G174" s="10">
        <v>3.39E-2</v>
      </c>
    </row>
    <row r="175" spans="2:7" x14ac:dyDescent="0.3">
      <c r="B175" s="22">
        <v>40634</v>
      </c>
      <c r="C175" s="10">
        <v>8.1349999999999992E-2</v>
      </c>
      <c r="D175" s="10">
        <v>7.9890000000000003E-2</v>
      </c>
      <c r="E175" s="10">
        <v>8.1349999999999992E-2</v>
      </c>
      <c r="F175" s="10">
        <v>7.9640000000000002E-2</v>
      </c>
      <c r="G175" s="10">
        <v>1.8800000000000001E-2</v>
      </c>
    </row>
    <row r="176" spans="2:7" x14ac:dyDescent="0.3">
      <c r="B176" s="22">
        <v>40603</v>
      </c>
      <c r="C176" s="10">
        <v>7.9850000000000004E-2</v>
      </c>
      <c r="D176" s="10">
        <v>8.0159999999999995E-2</v>
      </c>
      <c r="E176" s="10">
        <v>8.0180000000000001E-2</v>
      </c>
      <c r="F176" s="10">
        <v>7.9310000000000005E-2</v>
      </c>
      <c r="G176" s="10">
        <v>-8.9999999999999998E-4</v>
      </c>
    </row>
    <row r="177" spans="2:7" x14ac:dyDescent="0.3">
      <c r="B177" s="22">
        <v>40575</v>
      </c>
      <c r="C177" s="10">
        <v>7.9920000000000005E-2</v>
      </c>
      <c r="D177" s="10">
        <v>8.1449999999999995E-2</v>
      </c>
      <c r="E177" s="10">
        <v>8.2119999999999999E-2</v>
      </c>
      <c r="F177" s="10">
        <v>7.9920000000000005E-2</v>
      </c>
      <c r="G177" s="10">
        <v>-1.9099999999999999E-2</v>
      </c>
    </row>
    <row r="178" spans="2:7" x14ac:dyDescent="0.3">
      <c r="B178" s="22">
        <v>40544</v>
      </c>
      <c r="C178" s="10">
        <v>8.1479999999999997E-2</v>
      </c>
      <c r="D178" s="10">
        <v>7.9500000000000001E-2</v>
      </c>
      <c r="E178" s="10">
        <v>8.2339999999999997E-2</v>
      </c>
      <c r="F178" s="10">
        <v>7.9500000000000001E-2</v>
      </c>
      <c r="G178" s="10">
        <v>2.9700000000000001E-2</v>
      </c>
    </row>
    <row r="179" spans="2:7" x14ac:dyDescent="0.3">
      <c r="B179" s="22">
        <v>40513</v>
      </c>
      <c r="C179" s="10">
        <v>7.9130000000000006E-2</v>
      </c>
      <c r="D179" s="10">
        <v>8.0829999999999999E-2</v>
      </c>
      <c r="E179" s="10">
        <v>8.2189999999999999E-2</v>
      </c>
      <c r="F179" s="10">
        <v>7.893E-2</v>
      </c>
      <c r="G179" s="10">
        <v>-1.9E-2</v>
      </c>
    </row>
    <row r="180" spans="2:7" x14ac:dyDescent="0.3">
      <c r="B180" s="22">
        <v>40483</v>
      </c>
      <c r="C180" s="10">
        <v>8.0660000000000009E-2</v>
      </c>
      <c r="D180" s="10">
        <v>8.115E-2</v>
      </c>
      <c r="E180" s="10">
        <v>8.115E-2</v>
      </c>
      <c r="F180" s="10">
        <v>7.9369999999999996E-2</v>
      </c>
      <c r="G180" s="10">
        <v>-6.7999999999999996E-3</v>
      </c>
    </row>
    <row r="181" spans="2:7" x14ac:dyDescent="0.3">
      <c r="B181" s="22">
        <v>40452</v>
      </c>
      <c r="C181" s="10">
        <v>8.1210000000000004E-2</v>
      </c>
      <c r="D181" s="10">
        <v>7.8960000000000002E-2</v>
      </c>
      <c r="E181" s="10">
        <v>8.1769999999999995E-2</v>
      </c>
      <c r="F181" s="10">
        <v>7.8960000000000002E-2</v>
      </c>
      <c r="G181" s="10">
        <v>3.4299999999999997E-2</v>
      </c>
    </row>
    <row r="182" spans="2:7" x14ac:dyDescent="0.3">
      <c r="B182" s="22">
        <v>40422</v>
      </c>
      <c r="C182" s="10">
        <v>7.8520000000000006E-2</v>
      </c>
      <c r="D182" s="10">
        <v>7.9420000000000004E-2</v>
      </c>
      <c r="E182" s="10">
        <v>8.0090000000000008E-2</v>
      </c>
      <c r="F182" s="10">
        <v>7.8329999999999997E-2</v>
      </c>
      <c r="G182" s="10">
        <v>-1.06E-2</v>
      </c>
    </row>
    <row r="183" spans="2:7" x14ac:dyDescent="0.3">
      <c r="B183" s="22">
        <v>40391</v>
      </c>
      <c r="C183" s="10">
        <v>7.936E-2</v>
      </c>
      <c r="D183" s="10">
        <v>7.8570000000000001E-2</v>
      </c>
      <c r="E183" s="10">
        <v>8.0670000000000006E-2</v>
      </c>
      <c r="F183" s="10">
        <v>7.7839999999999993E-2</v>
      </c>
      <c r="G183" s="10">
        <v>1.7000000000000001E-2</v>
      </c>
    </row>
    <row r="184" spans="2:7" x14ac:dyDescent="0.3">
      <c r="B184" s="22">
        <v>40360</v>
      </c>
      <c r="C184" s="10">
        <v>7.8030000000000002E-2</v>
      </c>
      <c r="D184" s="10">
        <v>7.5209999999999999E-2</v>
      </c>
      <c r="E184" s="10">
        <v>7.8030000000000002E-2</v>
      </c>
      <c r="F184" s="10">
        <v>7.5209999999999999E-2</v>
      </c>
      <c r="G184" s="10">
        <v>3.2000000000000001E-2</v>
      </c>
    </row>
    <row r="185" spans="2:7" x14ac:dyDescent="0.3">
      <c r="B185" s="22">
        <v>40330</v>
      </c>
      <c r="C185" s="10">
        <v>7.5609999999999997E-2</v>
      </c>
      <c r="D185" s="10">
        <v>7.5639999999999999E-2</v>
      </c>
      <c r="E185" s="10">
        <v>7.6859999999999998E-2</v>
      </c>
      <c r="F185" s="10">
        <v>7.4630000000000002E-2</v>
      </c>
      <c r="G185" s="10">
        <v>-4.0000000000000002E-4</v>
      </c>
    </row>
    <row r="186" spans="2:7" x14ac:dyDescent="0.3">
      <c r="B186" s="22">
        <v>40299</v>
      </c>
      <c r="C186" s="10">
        <v>7.5639999999999999E-2</v>
      </c>
      <c r="D186" s="10">
        <v>8.0700000000000008E-2</v>
      </c>
      <c r="E186" s="10">
        <v>8.0700000000000008E-2</v>
      </c>
      <c r="F186" s="10">
        <v>7.3680000000000009E-2</v>
      </c>
      <c r="G186" s="10">
        <v>-6.1699999999999998E-2</v>
      </c>
    </row>
    <row r="187" spans="2:7" x14ac:dyDescent="0.3">
      <c r="B187" s="22">
        <v>40269</v>
      </c>
      <c r="C187" s="10">
        <v>8.0610000000000001E-2</v>
      </c>
      <c r="D187" s="10">
        <v>7.843E-2</v>
      </c>
      <c r="E187" s="10">
        <v>8.1240000000000007E-2</v>
      </c>
      <c r="F187" s="10">
        <v>7.7719999999999997E-2</v>
      </c>
      <c r="G187" s="10">
        <v>2.69E-2</v>
      </c>
    </row>
    <row r="188" spans="2:7" x14ac:dyDescent="0.3">
      <c r="B188" s="22">
        <v>40238</v>
      </c>
      <c r="C188" s="10">
        <v>7.85E-2</v>
      </c>
      <c r="D188" s="10">
        <v>7.9199999999999993E-2</v>
      </c>
      <c r="E188" s="10">
        <v>8.0149999999999999E-2</v>
      </c>
      <c r="F188" s="10">
        <v>7.7380000000000004E-2</v>
      </c>
      <c r="G188" s="10">
        <v>-1.8E-3</v>
      </c>
    </row>
    <row r="189" spans="2:7" x14ac:dyDescent="0.3">
      <c r="B189" s="22">
        <v>40210</v>
      </c>
      <c r="C189" s="10">
        <v>7.8640000000000002E-2</v>
      </c>
      <c r="D189" s="10">
        <v>7.5839999999999991E-2</v>
      </c>
      <c r="E189" s="10">
        <v>7.9229999999999995E-2</v>
      </c>
      <c r="F189" s="10">
        <v>7.5839999999999991E-2</v>
      </c>
      <c r="G189" s="10">
        <v>3.5999999999999997E-2</v>
      </c>
    </row>
    <row r="190" spans="2:7" x14ac:dyDescent="0.3">
      <c r="B190" s="22">
        <v>40179</v>
      </c>
      <c r="C190" s="10">
        <v>7.5910000000000005E-2</v>
      </c>
      <c r="D190" s="10">
        <v>7.7060000000000003E-2</v>
      </c>
      <c r="E190" s="10">
        <v>7.8060000000000004E-2</v>
      </c>
      <c r="F190" s="10">
        <v>7.5380000000000003E-2</v>
      </c>
      <c r="G190" s="10">
        <v>-1.15E-2</v>
      </c>
    </row>
    <row r="191" spans="2:7" x14ac:dyDescent="0.3">
      <c r="B191" s="22">
        <v>40148</v>
      </c>
      <c r="C191" s="10">
        <v>7.6789999999999997E-2</v>
      </c>
      <c r="D191" s="10">
        <v>7.2599999999999998E-2</v>
      </c>
      <c r="E191" s="10">
        <v>7.739E-2</v>
      </c>
      <c r="F191" s="10">
        <v>7.2599999999999998E-2</v>
      </c>
      <c r="G191" s="10">
        <v>5.8200000000000002E-2</v>
      </c>
    </row>
    <row r="192" spans="2:7" x14ac:dyDescent="0.3">
      <c r="B192" s="22">
        <v>40118</v>
      </c>
      <c r="C192" s="10">
        <v>7.2569999999999996E-2</v>
      </c>
      <c r="D192" s="10">
        <v>7.288E-2</v>
      </c>
      <c r="E192" s="10">
        <v>7.3590000000000003E-2</v>
      </c>
      <c r="F192" s="10">
        <v>7.1680000000000008E-2</v>
      </c>
      <c r="G192" s="10">
        <v>-6.7000000000000002E-3</v>
      </c>
    </row>
    <row r="193" spans="2:7" x14ac:dyDescent="0.3">
      <c r="B193" s="22">
        <v>40087</v>
      </c>
      <c r="C193" s="10">
        <v>7.306E-2</v>
      </c>
      <c r="D193" s="10">
        <v>7.1940000000000004E-2</v>
      </c>
      <c r="E193" s="10">
        <v>7.4619999999999992E-2</v>
      </c>
      <c r="F193" s="10">
        <v>7.1639999999999995E-2</v>
      </c>
      <c r="G193" s="10">
        <v>1.26E-2</v>
      </c>
    </row>
    <row r="194" spans="2:7" x14ac:dyDescent="0.3">
      <c r="B194" s="22">
        <v>40057</v>
      </c>
      <c r="C194" s="10">
        <v>7.2149999999999992E-2</v>
      </c>
      <c r="D194" s="10">
        <v>7.2149999999999992E-2</v>
      </c>
      <c r="E194" s="10">
        <v>7.2149999999999992E-2</v>
      </c>
      <c r="F194" s="10">
        <v>7.2149999999999992E-2</v>
      </c>
      <c r="G194" s="10">
        <v>-2.9499999999999998E-2</v>
      </c>
    </row>
    <row r="195" spans="2:7" x14ac:dyDescent="0.3">
      <c r="B195" s="22">
        <v>40026</v>
      </c>
      <c r="C195" s="10">
        <v>7.4340000000000003E-2</v>
      </c>
      <c r="D195" s="10">
        <v>7.4340000000000003E-2</v>
      </c>
      <c r="E195" s="10">
        <v>7.4340000000000003E-2</v>
      </c>
      <c r="F195" s="10">
        <v>7.4340000000000003E-2</v>
      </c>
      <c r="G195" s="10">
        <v>6.2300000000000001E-2</v>
      </c>
    </row>
    <row r="196" spans="2:7" x14ac:dyDescent="0.3">
      <c r="B196" s="22">
        <v>39995</v>
      </c>
      <c r="C196" s="10">
        <v>6.9980000000000001E-2</v>
      </c>
      <c r="D196" s="10">
        <v>6.9980000000000001E-2</v>
      </c>
      <c r="E196" s="10">
        <v>6.9980000000000001E-2</v>
      </c>
      <c r="F196" s="10">
        <v>6.9980000000000001E-2</v>
      </c>
      <c r="G196" s="10">
        <v>-2.0999999999999999E-3</v>
      </c>
    </row>
    <row r="197" spans="2:7" x14ac:dyDescent="0.3">
      <c r="B197" s="22">
        <v>39965</v>
      </c>
      <c r="C197" s="10">
        <v>7.0129999999999998E-2</v>
      </c>
      <c r="D197" s="10">
        <v>7.0129999999999998E-2</v>
      </c>
      <c r="E197" s="10">
        <v>7.0129999999999998E-2</v>
      </c>
      <c r="F197" s="10">
        <v>7.0129999999999998E-2</v>
      </c>
      <c r="G197" s="10">
        <v>4.5199999999999997E-2</v>
      </c>
    </row>
    <row r="198" spans="2:7" x14ac:dyDescent="0.3">
      <c r="B198" s="22">
        <v>39934</v>
      </c>
      <c r="C198" s="10">
        <v>6.7099999999999993E-2</v>
      </c>
      <c r="D198" s="10">
        <v>6.7099999999999993E-2</v>
      </c>
      <c r="E198" s="10">
        <v>6.7099999999999993E-2</v>
      </c>
      <c r="F198" s="10">
        <v>6.7099999999999993E-2</v>
      </c>
      <c r="G198" s="10">
        <v>7.4999999999999997E-2</v>
      </c>
    </row>
    <row r="199" spans="2:7" x14ac:dyDescent="0.3">
      <c r="B199" s="22">
        <v>39904</v>
      </c>
      <c r="C199" s="10">
        <v>6.2420000000000003E-2</v>
      </c>
      <c r="D199" s="10">
        <v>6.2420000000000003E-2</v>
      </c>
      <c r="E199" s="10">
        <v>6.2420000000000003E-2</v>
      </c>
      <c r="F199" s="10">
        <v>6.2420000000000003E-2</v>
      </c>
      <c r="G199" s="10">
        <v>-0.1101</v>
      </c>
    </row>
    <row r="200" spans="2:7" x14ac:dyDescent="0.3">
      <c r="B200" s="22">
        <v>39873</v>
      </c>
      <c r="C200" s="10">
        <v>7.0140000000000008E-2</v>
      </c>
      <c r="D200" s="10">
        <v>7.0140000000000008E-2</v>
      </c>
      <c r="E200" s="10">
        <v>7.0140000000000008E-2</v>
      </c>
      <c r="F200" s="10">
        <v>7.0140000000000008E-2</v>
      </c>
      <c r="G200" s="10">
        <v>0.1084</v>
      </c>
    </row>
    <row r="201" spans="2:7" x14ac:dyDescent="0.3">
      <c r="B201" s="22">
        <v>39845</v>
      </c>
      <c r="C201" s="10">
        <v>6.3280000000000003E-2</v>
      </c>
      <c r="D201" s="10">
        <v>6.3280000000000003E-2</v>
      </c>
      <c r="E201" s="10">
        <v>6.3280000000000003E-2</v>
      </c>
      <c r="F201" s="10">
        <v>6.3280000000000003E-2</v>
      </c>
      <c r="G201" s="10">
        <v>2.2800000000000001E-2</v>
      </c>
    </row>
    <row r="202" spans="2:7" x14ac:dyDescent="0.3">
      <c r="B202" s="22">
        <v>39814</v>
      </c>
      <c r="C202" s="10">
        <v>6.1870000000000001E-2</v>
      </c>
      <c r="D202" s="10">
        <v>6.1870000000000001E-2</v>
      </c>
      <c r="E202" s="10">
        <v>6.1870000000000001E-2</v>
      </c>
      <c r="F202" s="10">
        <v>6.1870000000000001E-2</v>
      </c>
      <c r="G202" s="10">
        <v>0.1762</v>
      </c>
    </row>
    <row r="203" spans="2:7" x14ac:dyDescent="0.3">
      <c r="B203" s="22">
        <v>39783</v>
      </c>
      <c r="C203" s="10">
        <v>5.2600000000000001E-2</v>
      </c>
      <c r="D203" s="10">
        <v>5.2600000000000001E-2</v>
      </c>
      <c r="E203" s="10">
        <v>5.2600000000000001E-2</v>
      </c>
      <c r="F203" s="10">
        <v>5.2600000000000001E-2</v>
      </c>
      <c r="G203" s="10">
        <v>-0.2571</v>
      </c>
    </row>
    <row r="204" spans="2:7" x14ac:dyDescent="0.3">
      <c r="B204" s="22">
        <v>39753</v>
      </c>
      <c r="C204" s="10">
        <v>7.0800000000000002E-2</v>
      </c>
      <c r="D204" s="10">
        <v>7.0800000000000002E-2</v>
      </c>
      <c r="E204" s="10">
        <v>7.0800000000000002E-2</v>
      </c>
      <c r="F204" s="10">
        <v>7.0800000000000002E-2</v>
      </c>
      <c r="G204" s="10">
        <v>-5.3199999999999997E-2</v>
      </c>
    </row>
    <row r="205" spans="2:7" x14ac:dyDescent="0.3">
      <c r="B205" s="22">
        <v>39722</v>
      </c>
      <c r="C205" s="10">
        <v>7.4779999999999999E-2</v>
      </c>
      <c r="D205" s="10">
        <v>7.4779999999999999E-2</v>
      </c>
      <c r="E205" s="10">
        <v>7.4779999999999999E-2</v>
      </c>
      <c r="F205" s="10">
        <v>7.4779999999999999E-2</v>
      </c>
      <c r="G205" s="10">
        <v>-0.13220000000000001</v>
      </c>
    </row>
    <row r="206" spans="2:7" x14ac:dyDescent="0.3">
      <c r="B206" s="22">
        <v>39692</v>
      </c>
      <c r="C206" s="10">
        <v>8.617000000000001E-2</v>
      </c>
      <c r="D206" s="10">
        <v>8.617000000000001E-2</v>
      </c>
      <c r="E206" s="10">
        <v>8.617000000000001E-2</v>
      </c>
      <c r="F206" s="10">
        <v>8.617000000000001E-2</v>
      </c>
      <c r="G206" s="10">
        <v>-9.4999999999999998E-3</v>
      </c>
    </row>
    <row r="207" spans="2:7" x14ac:dyDescent="0.3">
      <c r="B207" s="22">
        <v>39661</v>
      </c>
      <c r="C207" s="10">
        <v>8.6999999999999994E-2</v>
      </c>
      <c r="D207" s="10">
        <v>8.6999999999999994E-2</v>
      </c>
      <c r="E207" s="10">
        <v>8.6999999999999994E-2</v>
      </c>
      <c r="F207" s="10">
        <v>8.6999999999999994E-2</v>
      </c>
      <c r="G207" s="10">
        <v>-6.6100000000000006E-2</v>
      </c>
    </row>
    <row r="208" spans="2:7" x14ac:dyDescent="0.3">
      <c r="B208" s="22">
        <v>39630</v>
      </c>
      <c r="C208" s="10">
        <v>9.3160000000000007E-2</v>
      </c>
      <c r="D208" s="10">
        <v>9.3160000000000007E-2</v>
      </c>
      <c r="E208" s="10">
        <v>9.3160000000000007E-2</v>
      </c>
      <c r="F208" s="10">
        <v>9.3160000000000007E-2</v>
      </c>
      <c r="G208" s="10">
        <v>6.9199999999999998E-2</v>
      </c>
    </row>
    <row r="209" spans="2:7" x14ac:dyDescent="0.3">
      <c r="B209" s="22">
        <v>39600</v>
      </c>
      <c r="C209" s="10">
        <v>8.7129999999999985E-2</v>
      </c>
      <c r="D209" s="10">
        <v>8.7129999999999985E-2</v>
      </c>
      <c r="E209" s="10">
        <v>8.7129999999999985E-2</v>
      </c>
      <c r="F209" s="10">
        <v>8.7129999999999985E-2</v>
      </c>
      <c r="G209" s="10">
        <v>7.5499999999999998E-2</v>
      </c>
    </row>
    <row r="210" spans="2:7" x14ac:dyDescent="0.3">
      <c r="B210" s="22">
        <v>39569</v>
      </c>
      <c r="C210" s="10">
        <v>8.1010000000000013E-2</v>
      </c>
      <c r="D210" s="10">
        <v>8.1010000000000013E-2</v>
      </c>
      <c r="E210" s="10">
        <v>8.1010000000000013E-2</v>
      </c>
      <c r="F210" s="10">
        <v>8.1010000000000013E-2</v>
      </c>
      <c r="G210" s="10">
        <v>1.8200000000000001E-2</v>
      </c>
    </row>
    <row r="211" spans="2:7" x14ac:dyDescent="0.3">
      <c r="B211" s="22">
        <v>39539</v>
      </c>
      <c r="C211" s="10">
        <v>7.9560000000000006E-2</v>
      </c>
      <c r="D211" s="10">
        <v>7.9560000000000006E-2</v>
      </c>
      <c r="E211" s="10">
        <v>7.9560000000000006E-2</v>
      </c>
      <c r="F211" s="10">
        <v>7.9560000000000006E-2</v>
      </c>
      <c r="G211" s="10">
        <v>2.3E-3</v>
      </c>
    </row>
    <row r="212" spans="2:7" x14ac:dyDescent="0.3">
      <c r="B212" s="22">
        <v>39508</v>
      </c>
      <c r="C212" s="10">
        <v>7.9379999999999992E-2</v>
      </c>
      <c r="D212" s="10">
        <v>7.9379999999999992E-2</v>
      </c>
      <c r="E212" s="10">
        <v>7.9379999999999992E-2</v>
      </c>
      <c r="F212" s="10">
        <v>7.9379999999999992E-2</v>
      </c>
      <c r="G212" s="10">
        <v>4.8899999999999999E-2</v>
      </c>
    </row>
    <row r="213" spans="2:7" x14ac:dyDescent="0.3">
      <c r="B213" s="22">
        <v>39479</v>
      </c>
      <c r="C213" s="10">
        <v>7.5679999999999997E-2</v>
      </c>
      <c r="D213" s="10">
        <v>7.5679999999999997E-2</v>
      </c>
      <c r="E213" s="10">
        <v>7.5679999999999997E-2</v>
      </c>
      <c r="F213" s="10">
        <v>7.5679999999999997E-2</v>
      </c>
      <c r="G213" s="10">
        <v>5.1999999999999998E-3</v>
      </c>
    </row>
    <row r="214" spans="2:7" x14ac:dyDescent="0.3">
      <c r="B214" s="22">
        <v>39448</v>
      </c>
      <c r="C214" s="10">
        <v>7.5289999999999996E-2</v>
      </c>
      <c r="D214" s="10">
        <v>7.5289999999999996E-2</v>
      </c>
      <c r="E214" s="10">
        <v>7.5289999999999996E-2</v>
      </c>
      <c r="F214" s="10">
        <v>7.5289999999999996E-2</v>
      </c>
      <c r="G214" s="10">
        <v>-3.3599999999999998E-2</v>
      </c>
    </row>
    <row r="215" spans="2:7" x14ac:dyDescent="0.3">
      <c r="B215" s="22">
        <v>39417</v>
      </c>
      <c r="C215" s="10">
        <v>7.7910000000000007E-2</v>
      </c>
      <c r="D215" s="10">
        <v>7.7910000000000007E-2</v>
      </c>
      <c r="E215" s="10">
        <v>7.7910000000000007E-2</v>
      </c>
      <c r="F215" s="10">
        <v>7.7910000000000007E-2</v>
      </c>
      <c r="G215" s="10">
        <v>-1.44E-2</v>
      </c>
    </row>
    <row r="216" spans="2:7" x14ac:dyDescent="0.3">
      <c r="B216" s="22">
        <v>39387</v>
      </c>
      <c r="C216" s="10">
        <v>7.9050000000000009E-2</v>
      </c>
      <c r="D216" s="10">
        <v>7.9050000000000009E-2</v>
      </c>
      <c r="E216" s="10">
        <v>7.9050000000000009E-2</v>
      </c>
      <c r="F216" s="10">
        <v>7.9050000000000009E-2</v>
      </c>
      <c r="G216" s="10">
        <v>8.3999999999999995E-3</v>
      </c>
    </row>
    <row r="217" spans="2:7" x14ac:dyDescent="0.3">
      <c r="B217" s="22">
        <v>39356</v>
      </c>
      <c r="C217" s="10">
        <v>7.8390000000000001E-2</v>
      </c>
      <c r="D217" s="10">
        <v>7.8390000000000001E-2</v>
      </c>
      <c r="E217" s="10">
        <v>7.8390000000000001E-2</v>
      </c>
      <c r="F217" s="10">
        <v>7.8390000000000001E-2</v>
      </c>
      <c r="G217" s="10">
        <v>-1.09E-2</v>
      </c>
    </row>
    <row r="218" spans="2:7" x14ac:dyDescent="0.3">
      <c r="B218" s="22">
        <v>39326</v>
      </c>
      <c r="C218" s="10">
        <v>7.9250000000000001E-2</v>
      </c>
      <c r="D218" s="10">
        <v>7.9250000000000001E-2</v>
      </c>
      <c r="E218" s="10">
        <v>7.9250000000000001E-2</v>
      </c>
      <c r="F218" s="10">
        <v>7.9250000000000001E-2</v>
      </c>
      <c r="G218" s="10">
        <v>-5.9999999999999995E-4</v>
      </c>
    </row>
    <row r="219" spans="2:7" x14ac:dyDescent="0.3">
      <c r="B219" s="22">
        <v>39295</v>
      </c>
      <c r="C219" s="10">
        <v>7.9299999999999995E-2</v>
      </c>
      <c r="D219" s="10">
        <v>7.9299999999999995E-2</v>
      </c>
      <c r="E219" s="10">
        <v>7.9299999999999995E-2</v>
      </c>
      <c r="F219" s="10">
        <v>7.9299999999999995E-2</v>
      </c>
      <c r="G219" s="10">
        <v>1.0800000000000001E-2</v>
      </c>
    </row>
    <row r="220" spans="2:7" x14ac:dyDescent="0.3">
      <c r="B220" s="22">
        <v>39264</v>
      </c>
      <c r="C220" s="10">
        <v>7.8449999999999992E-2</v>
      </c>
      <c r="D220" s="10">
        <v>7.8449999999999992E-2</v>
      </c>
      <c r="E220" s="10">
        <v>7.8449999999999992E-2</v>
      </c>
      <c r="F220" s="10">
        <v>7.8449999999999992E-2</v>
      </c>
      <c r="G220" s="10">
        <v>-4.1799999999999997E-2</v>
      </c>
    </row>
    <row r="221" spans="2:7" x14ac:dyDescent="0.3">
      <c r="B221" s="22">
        <v>39234</v>
      </c>
      <c r="C221" s="10">
        <v>8.1869999999999998E-2</v>
      </c>
      <c r="D221" s="10">
        <v>8.1869999999999998E-2</v>
      </c>
      <c r="E221" s="10">
        <v>8.1869999999999998E-2</v>
      </c>
      <c r="F221" s="10">
        <v>8.1869999999999998E-2</v>
      </c>
      <c r="G221" s="10">
        <v>1.32E-2</v>
      </c>
    </row>
    <row r="222" spans="2:7" x14ac:dyDescent="0.3">
      <c r="B222" s="22">
        <v>39203</v>
      </c>
      <c r="C222" s="10">
        <v>8.0799999999999997E-2</v>
      </c>
      <c r="D222" s="10">
        <v>8.0799999999999997E-2</v>
      </c>
      <c r="E222" s="10">
        <v>8.0799999999999997E-2</v>
      </c>
      <c r="F222" s="10">
        <v>8.0799999999999997E-2</v>
      </c>
      <c r="G222" s="10">
        <v>-1.14E-2</v>
      </c>
    </row>
    <row r="223" spans="2:7" x14ac:dyDescent="0.3">
      <c r="B223" s="22">
        <v>39173</v>
      </c>
      <c r="C223" s="10">
        <v>8.1729999999999997E-2</v>
      </c>
      <c r="D223" s="10">
        <v>8.1729999999999997E-2</v>
      </c>
      <c r="E223" s="10">
        <v>8.1729999999999997E-2</v>
      </c>
      <c r="F223" s="10">
        <v>8.1729999999999997E-2</v>
      </c>
      <c r="G223" s="10">
        <v>1.8800000000000001E-2</v>
      </c>
    </row>
    <row r="224" spans="2:7" x14ac:dyDescent="0.3">
      <c r="B224" s="22">
        <v>39142</v>
      </c>
      <c r="C224" s="10">
        <v>8.022E-2</v>
      </c>
      <c r="D224" s="10">
        <v>8.022E-2</v>
      </c>
      <c r="E224" s="10">
        <v>8.022E-2</v>
      </c>
      <c r="F224" s="10">
        <v>8.022E-2</v>
      </c>
      <c r="G224" s="10">
        <v>2.8E-3</v>
      </c>
    </row>
    <row r="225" spans="2:7" x14ac:dyDescent="0.3">
      <c r="B225" s="22">
        <v>39114</v>
      </c>
      <c r="C225" s="10">
        <v>0.08</v>
      </c>
      <c r="D225" s="10">
        <v>0.08</v>
      </c>
      <c r="E225" s="10">
        <v>0.08</v>
      </c>
      <c r="F225" s="10">
        <v>0.08</v>
      </c>
      <c r="G225" s="10">
        <v>3.39E-2</v>
      </c>
    </row>
    <row r="226" spans="2:7" x14ac:dyDescent="0.3">
      <c r="B226" s="22">
        <v>39083</v>
      </c>
      <c r="C226" s="10">
        <v>7.7380000000000004E-2</v>
      </c>
      <c r="D226" s="10">
        <v>7.7380000000000004E-2</v>
      </c>
      <c r="E226" s="10">
        <v>7.7380000000000004E-2</v>
      </c>
      <c r="F226" s="10">
        <v>7.7380000000000004E-2</v>
      </c>
      <c r="G226" s="10">
        <v>1.5599999999999999E-2</v>
      </c>
    </row>
    <row r="227" spans="2:7" x14ac:dyDescent="0.3">
      <c r="B227" s="22">
        <v>39052</v>
      </c>
      <c r="C227" s="10">
        <v>7.6189999999999994E-2</v>
      </c>
      <c r="D227" s="10">
        <v>7.6189999999999994E-2</v>
      </c>
      <c r="E227" s="10">
        <v>7.6189999999999994E-2</v>
      </c>
      <c r="F227" s="10">
        <v>7.6189999999999994E-2</v>
      </c>
      <c r="G227" s="10">
        <v>2.63E-2</v>
      </c>
    </row>
    <row r="228" spans="2:7" x14ac:dyDescent="0.3">
      <c r="B228" s="22">
        <v>39022</v>
      </c>
      <c r="C228" s="10">
        <v>7.424E-2</v>
      </c>
      <c r="D228" s="10">
        <v>7.424E-2</v>
      </c>
      <c r="E228" s="10">
        <v>7.424E-2</v>
      </c>
      <c r="F228" s="10">
        <v>7.424E-2</v>
      </c>
      <c r="G228" s="10">
        <v>-2.64E-2</v>
      </c>
    </row>
    <row r="229" spans="2:7" x14ac:dyDescent="0.3">
      <c r="B229" s="22">
        <v>38991</v>
      </c>
      <c r="C229" s="10">
        <v>7.6249999999999998E-2</v>
      </c>
      <c r="D229" s="10">
        <v>7.6249999999999998E-2</v>
      </c>
      <c r="E229" s="10">
        <v>7.6249999999999998E-2</v>
      </c>
      <c r="F229" s="10">
        <v>7.6249999999999998E-2</v>
      </c>
      <c r="G229" s="10">
        <v>-2.2000000000000001E-3</v>
      </c>
    </row>
    <row r="230" spans="2:7" x14ac:dyDescent="0.3">
      <c r="B230" s="22">
        <v>38961</v>
      </c>
      <c r="C230" s="10">
        <v>7.6420000000000002E-2</v>
      </c>
      <c r="D230" s="10">
        <v>7.6420000000000002E-2</v>
      </c>
      <c r="E230" s="10">
        <v>7.6420000000000002E-2</v>
      </c>
      <c r="F230" s="10">
        <v>7.6420000000000002E-2</v>
      </c>
      <c r="G230" s="10">
        <v>-3.1600000000000003E-2</v>
      </c>
    </row>
    <row r="231" spans="2:7" x14ac:dyDescent="0.3">
      <c r="B231" s="22">
        <v>38930</v>
      </c>
      <c r="C231" s="10">
        <v>7.8909999999999994E-2</v>
      </c>
      <c r="D231" s="10">
        <v>7.8909999999999994E-2</v>
      </c>
      <c r="E231" s="10">
        <v>7.8909999999999994E-2</v>
      </c>
      <c r="F231" s="10">
        <v>7.8909999999999994E-2</v>
      </c>
      <c r="G231" s="10">
        <v>-4.2099999999999999E-2</v>
      </c>
    </row>
    <row r="232" spans="2:7" x14ac:dyDescent="0.3">
      <c r="B232" s="22">
        <v>38899</v>
      </c>
      <c r="C232" s="10">
        <v>8.2379999999999995E-2</v>
      </c>
      <c r="D232" s="10">
        <v>8.2379999999999995E-2</v>
      </c>
      <c r="E232" s="10">
        <v>8.2379999999999995E-2</v>
      </c>
      <c r="F232" s="10">
        <v>8.2379999999999995E-2</v>
      </c>
      <c r="G232" s="10">
        <v>1.0699999999999999E-2</v>
      </c>
    </row>
    <row r="233" spans="2:7" x14ac:dyDescent="0.3">
      <c r="B233" s="22">
        <v>38869</v>
      </c>
      <c r="C233" s="10">
        <v>8.1509999999999999E-2</v>
      </c>
      <c r="D233" s="10">
        <v>8.1509999999999999E-2</v>
      </c>
      <c r="E233" s="10">
        <v>8.1509999999999999E-2</v>
      </c>
      <c r="F233" s="10">
        <v>8.1509999999999999E-2</v>
      </c>
      <c r="G233" s="10">
        <v>6.4199999999999993E-2</v>
      </c>
    </row>
    <row r="234" spans="2:7" x14ac:dyDescent="0.3">
      <c r="B234" s="22">
        <v>38838</v>
      </c>
      <c r="C234" s="10">
        <v>7.6589999999999991E-2</v>
      </c>
      <c r="D234" s="10">
        <v>7.6589999999999991E-2</v>
      </c>
      <c r="E234" s="10">
        <v>7.6589999999999991E-2</v>
      </c>
      <c r="F234" s="10">
        <v>7.6589999999999991E-2</v>
      </c>
      <c r="G234" s="10">
        <v>3.6400000000000002E-2</v>
      </c>
    </row>
    <row r="235" spans="2:7" x14ac:dyDescent="0.3">
      <c r="B235" s="22">
        <v>38808</v>
      </c>
      <c r="C235" s="10">
        <v>7.3899999999999993E-2</v>
      </c>
      <c r="D235" s="10">
        <v>7.3899999999999993E-2</v>
      </c>
      <c r="E235" s="10">
        <v>7.3899999999999993E-2</v>
      </c>
      <c r="F235" s="10">
        <v>7.3899999999999993E-2</v>
      </c>
      <c r="G235" s="10">
        <v>-2.12E-2</v>
      </c>
    </row>
    <row r="236" spans="2:7" x14ac:dyDescent="0.3">
      <c r="B236" s="22">
        <v>38777</v>
      </c>
      <c r="C236" s="10">
        <v>7.5499999999999998E-2</v>
      </c>
      <c r="D236" s="10">
        <v>7.5499999999999998E-2</v>
      </c>
      <c r="E236" s="10">
        <v>7.5499999999999998E-2</v>
      </c>
      <c r="F236" s="10">
        <v>7.5499999999999998E-2</v>
      </c>
      <c r="G236" s="10">
        <v>2.12E-2</v>
      </c>
    </row>
    <row r="237" spans="2:7" x14ac:dyDescent="0.3">
      <c r="B237" s="22">
        <v>38749</v>
      </c>
      <c r="C237" s="10">
        <v>7.3929999999999996E-2</v>
      </c>
      <c r="D237" s="10">
        <v>7.3929999999999996E-2</v>
      </c>
      <c r="E237" s="10">
        <v>7.3929999999999996E-2</v>
      </c>
      <c r="F237" s="10">
        <v>7.3929999999999996E-2</v>
      </c>
      <c r="G237" s="10">
        <v>2.8E-3</v>
      </c>
    </row>
    <row r="238" spans="2:7" x14ac:dyDescent="0.3">
      <c r="B238" s="22">
        <v>38718</v>
      </c>
      <c r="C238" s="10">
        <v>7.3719999999999994E-2</v>
      </c>
      <c r="D238" s="10">
        <v>7.3719999999999994E-2</v>
      </c>
      <c r="E238" s="10">
        <v>7.3719999999999994E-2</v>
      </c>
      <c r="F238" s="10">
        <v>7.3719999999999994E-2</v>
      </c>
      <c r="G238" s="10">
        <v>3.6799999999999999E-2</v>
      </c>
    </row>
    <row r="239" spans="2:7" x14ac:dyDescent="0.3">
      <c r="B239" s="22">
        <v>38687</v>
      </c>
      <c r="C239" s="10">
        <v>7.1099999999999997E-2</v>
      </c>
      <c r="D239" s="10">
        <v>7.1099999999999997E-2</v>
      </c>
      <c r="E239" s="10">
        <v>7.1099999999999997E-2</v>
      </c>
      <c r="F239" s="10">
        <v>7.1099999999999997E-2</v>
      </c>
      <c r="G239" s="10">
        <v>3.8E-3</v>
      </c>
    </row>
    <row r="240" spans="2:7" x14ac:dyDescent="0.3">
      <c r="B240" s="22">
        <v>38657</v>
      </c>
      <c r="C240" s="10">
        <v>7.0830000000000004E-2</v>
      </c>
      <c r="D240" s="10">
        <v>7.0830000000000004E-2</v>
      </c>
      <c r="E240" s="10">
        <v>7.0830000000000004E-2</v>
      </c>
      <c r="F240" s="10">
        <v>7.0830000000000004E-2</v>
      </c>
      <c r="G240" s="10">
        <v>-2.3E-3</v>
      </c>
    </row>
    <row r="241" spans="2:7" x14ac:dyDescent="0.3">
      <c r="B241" s="22">
        <v>38626</v>
      </c>
      <c r="C241" s="10">
        <v>7.0989999999999998E-2</v>
      </c>
      <c r="D241" s="10">
        <v>7.0989999999999998E-2</v>
      </c>
      <c r="E241" s="10">
        <v>7.0989999999999998E-2</v>
      </c>
      <c r="F241" s="10">
        <v>7.0989999999999998E-2</v>
      </c>
      <c r="G241" s="10">
        <v>-2.9999999999999997E-4</v>
      </c>
    </row>
    <row r="242" spans="2:7" x14ac:dyDescent="0.3">
      <c r="B242" s="22">
        <v>38596</v>
      </c>
      <c r="C242" s="10">
        <v>7.1010000000000004E-2</v>
      </c>
      <c r="D242" s="10">
        <v>7.1010000000000004E-2</v>
      </c>
      <c r="E242" s="10">
        <v>7.1010000000000004E-2</v>
      </c>
      <c r="F242" s="10">
        <v>7.1010000000000004E-2</v>
      </c>
      <c r="G242" s="10">
        <v>1E-3</v>
      </c>
    </row>
    <row r="243" spans="2:7" x14ac:dyDescent="0.3">
      <c r="B243" s="22">
        <v>38565</v>
      </c>
      <c r="C243" s="10">
        <v>7.0940000000000003E-2</v>
      </c>
      <c r="D243" s="10">
        <v>7.0940000000000003E-2</v>
      </c>
      <c r="E243" s="10">
        <v>7.0940000000000003E-2</v>
      </c>
      <c r="F243" s="10">
        <v>7.0940000000000003E-2</v>
      </c>
      <c r="G243" s="10">
        <v>1.43E-2</v>
      </c>
    </row>
    <row r="244" spans="2:7" x14ac:dyDescent="0.3">
      <c r="B244" s="22">
        <v>38534</v>
      </c>
      <c r="C244" s="10">
        <v>6.9940000000000002E-2</v>
      </c>
      <c r="D244" s="10">
        <v>6.9940000000000002E-2</v>
      </c>
      <c r="E244" s="10">
        <v>6.9940000000000002E-2</v>
      </c>
      <c r="F244" s="10">
        <v>6.9940000000000002E-2</v>
      </c>
      <c r="G244" s="10">
        <v>1.26E-2</v>
      </c>
    </row>
    <row r="245" spans="2:7" x14ac:dyDescent="0.3">
      <c r="B245" s="22">
        <v>38504</v>
      </c>
      <c r="C245" s="10">
        <v>6.9070000000000006E-2</v>
      </c>
      <c r="D245" s="10">
        <v>6.9070000000000006E-2</v>
      </c>
      <c r="E245" s="10">
        <v>6.9070000000000006E-2</v>
      </c>
      <c r="F245" s="10">
        <v>6.9070000000000006E-2</v>
      </c>
      <c r="G245" s="10">
        <v>-1.03E-2</v>
      </c>
    </row>
    <row r="246" spans="2:7" x14ac:dyDescent="0.3">
      <c r="B246" s="22">
        <v>38473</v>
      </c>
      <c r="C246" s="10">
        <v>6.9790000000000005E-2</v>
      </c>
      <c r="D246" s="10">
        <v>6.9790000000000005E-2</v>
      </c>
      <c r="E246" s="10">
        <v>6.9790000000000005E-2</v>
      </c>
      <c r="F246" s="10">
        <v>6.9790000000000005E-2</v>
      </c>
      <c r="G246" s="10">
        <v>-5.1400000000000001E-2</v>
      </c>
    </row>
    <row r="247" spans="2:7" x14ac:dyDescent="0.3">
      <c r="B247" s="22">
        <v>38443</v>
      </c>
      <c r="C247" s="10">
        <v>7.3569999999999997E-2</v>
      </c>
      <c r="D247" s="10">
        <v>7.3569999999999997E-2</v>
      </c>
      <c r="E247" s="10">
        <v>7.3569999999999997E-2</v>
      </c>
      <c r="F247" s="10">
        <v>7.3569999999999997E-2</v>
      </c>
      <c r="G247" s="10">
        <v>0.10199999999999999</v>
      </c>
    </row>
    <row r="248" spans="2:7" x14ac:dyDescent="0.3">
      <c r="B248" s="22">
        <v>38412</v>
      </c>
      <c r="C248" s="10">
        <v>6.676E-2</v>
      </c>
      <c r="D248" s="10">
        <v>6.676E-2</v>
      </c>
      <c r="E248" s="10">
        <v>6.676E-2</v>
      </c>
      <c r="F248" s="10">
        <v>6.676E-2</v>
      </c>
      <c r="G248" s="10">
        <v>1.9400000000000001E-2</v>
      </c>
    </row>
    <row r="249" spans="2:7" x14ac:dyDescent="0.3">
      <c r="B249" s="22">
        <v>38384</v>
      </c>
      <c r="C249" s="10">
        <v>6.5490000000000007E-2</v>
      </c>
      <c r="D249" s="10">
        <v>6.5490000000000007E-2</v>
      </c>
      <c r="E249" s="10">
        <v>6.5490000000000007E-2</v>
      </c>
      <c r="F249" s="10">
        <v>6.5490000000000007E-2</v>
      </c>
      <c r="G249" s="10">
        <v>-2.3E-2</v>
      </c>
    </row>
    <row r="250" spans="2:7" x14ac:dyDescent="0.3">
      <c r="B250" s="22">
        <v>38353</v>
      </c>
      <c r="C250" s="10">
        <v>6.7030000000000006E-2</v>
      </c>
      <c r="D250" s="10">
        <v>6.7030000000000006E-2</v>
      </c>
      <c r="E250" s="10">
        <v>6.7030000000000006E-2</v>
      </c>
      <c r="F250" s="10">
        <v>6.7030000000000006E-2</v>
      </c>
      <c r="G250" s="10">
        <v>-4.0000000000000002E-4</v>
      </c>
    </row>
    <row r="251" spans="2:7" x14ac:dyDescent="0.3">
      <c r="B251" s="22">
        <v>38322</v>
      </c>
      <c r="C251" s="10">
        <v>6.7060000000000008E-2</v>
      </c>
      <c r="D251" s="10">
        <v>6.7060000000000008E-2</v>
      </c>
      <c r="E251" s="10">
        <v>6.7060000000000008E-2</v>
      </c>
      <c r="F251" s="10">
        <v>6.7060000000000008E-2</v>
      </c>
      <c r="G251" s="10">
        <v>-6.8199999999999997E-2</v>
      </c>
    </row>
    <row r="252" spans="2:7" x14ac:dyDescent="0.3">
      <c r="B252" s="22">
        <v>38292</v>
      </c>
      <c r="C252" s="10">
        <v>7.1970000000000006E-2</v>
      </c>
      <c r="D252" s="10">
        <v>7.1970000000000006E-2</v>
      </c>
      <c r="E252" s="10">
        <v>7.1970000000000006E-2</v>
      </c>
      <c r="F252" s="10">
        <v>7.1970000000000006E-2</v>
      </c>
      <c r="G252" s="10">
        <v>3.8199999999999998E-2</v>
      </c>
    </row>
    <row r="253" spans="2:7" x14ac:dyDescent="0.3">
      <c r="B253" s="22">
        <v>38261</v>
      </c>
      <c r="C253" s="10">
        <v>6.9320000000000007E-2</v>
      </c>
      <c r="D253" s="10">
        <v>6.9320000000000007E-2</v>
      </c>
      <c r="E253" s="10">
        <v>6.9320000000000007E-2</v>
      </c>
      <c r="F253" s="10">
        <v>6.9320000000000007E-2</v>
      </c>
      <c r="G253" s="10">
        <v>0.11020000000000001</v>
      </c>
    </row>
    <row r="254" spans="2:7" x14ac:dyDescent="0.3">
      <c r="B254" s="22">
        <v>38231</v>
      </c>
      <c r="C254" s="10">
        <v>6.2439999999999996E-2</v>
      </c>
      <c r="D254" s="10">
        <v>6.2439999999999996E-2</v>
      </c>
      <c r="E254" s="10">
        <v>6.2439999999999996E-2</v>
      </c>
      <c r="F254" s="10">
        <v>6.2439999999999996E-2</v>
      </c>
      <c r="G254" s="10">
        <v>2.5499999999999998E-2</v>
      </c>
    </row>
    <row r="255" spans="2:7" x14ac:dyDescent="0.3">
      <c r="B255" s="22">
        <v>38200</v>
      </c>
      <c r="C255" s="10">
        <v>6.0890000000000007E-2</v>
      </c>
      <c r="D255" s="10">
        <v>6.0890000000000007E-2</v>
      </c>
      <c r="E255" s="10">
        <v>6.0890000000000007E-2</v>
      </c>
      <c r="F255" s="10">
        <v>6.0890000000000007E-2</v>
      </c>
      <c r="G255" s="10">
        <v>-7.7999999999999996E-3</v>
      </c>
    </row>
    <row r="256" spans="2:7" x14ac:dyDescent="0.3">
      <c r="B256" s="22">
        <v>38169</v>
      </c>
      <c r="C256" s="10">
        <v>6.1369999999999994E-2</v>
      </c>
      <c r="D256" s="10">
        <v>6.1369999999999994E-2</v>
      </c>
      <c r="E256" s="10">
        <v>6.1369999999999994E-2</v>
      </c>
      <c r="F256" s="10">
        <v>6.1369999999999994E-2</v>
      </c>
      <c r="G256" s="10">
        <v>4.9099999999999998E-2</v>
      </c>
    </row>
    <row r="257" spans="2:7" x14ac:dyDescent="0.3">
      <c r="B257" s="22">
        <v>38139</v>
      </c>
      <c r="C257" s="10">
        <v>5.8499999999999996E-2</v>
      </c>
      <c r="D257" s="10">
        <v>5.8499999999999996E-2</v>
      </c>
      <c r="E257" s="10">
        <v>5.8499999999999996E-2</v>
      </c>
      <c r="F257" s="10">
        <v>5.8499999999999996E-2</v>
      </c>
      <c r="G257" s="10">
        <v>0.10920000000000001</v>
      </c>
    </row>
    <row r="258" spans="2:7" x14ac:dyDescent="0.3">
      <c r="B258" s="22">
        <v>38108</v>
      </c>
      <c r="C258" s="10">
        <v>5.2740000000000002E-2</v>
      </c>
      <c r="D258" s="10">
        <v>5.2740000000000002E-2</v>
      </c>
      <c r="E258" s="10">
        <v>5.2740000000000002E-2</v>
      </c>
      <c r="F258" s="10">
        <v>5.2740000000000002E-2</v>
      </c>
      <c r="G258" s="10">
        <v>3.0700000000000002E-2</v>
      </c>
    </row>
    <row r="259" spans="2:7" x14ac:dyDescent="0.3">
      <c r="B259" s="22">
        <v>38078</v>
      </c>
      <c r="C259" s="10">
        <v>5.117E-2</v>
      </c>
      <c r="D259" s="10">
        <v>5.117E-2</v>
      </c>
      <c r="E259" s="10">
        <v>5.117E-2</v>
      </c>
      <c r="F259" s="10">
        <v>5.117E-2</v>
      </c>
      <c r="G259" s="10">
        <v>-5.7999999999999996E-3</v>
      </c>
    </row>
    <row r="260" spans="2:7" x14ac:dyDescent="0.3">
      <c r="B260" s="22">
        <v>38047</v>
      </c>
      <c r="C260" s="10">
        <v>5.1470000000000002E-2</v>
      </c>
      <c r="D260" s="10">
        <v>5.1470000000000002E-2</v>
      </c>
      <c r="E260" s="10">
        <v>5.1470000000000002E-2</v>
      </c>
      <c r="F260" s="10">
        <v>5.1470000000000002E-2</v>
      </c>
      <c r="G260" s="10">
        <v>-2.1700000000000001E-2</v>
      </c>
    </row>
    <row r="261" spans="2:7" x14ac:dyDescent="0.3">
      <c r="B261" s="22">
        <v>38018</v>
      </c>
      <c r="C261" s="10">
        <v>5.2610000000000004E-2</v>
      </c>
      <c r="D261" s="10">
        <v>5.2610000000000004E-2</v>
      </c>
      <c r="E261" s="10">
        <v>5.2610000000000004E-2</v>
      </c>
      <c r="F261" s="10">
        <v>5.2610000000000004E-2</v>
      </c>
      <c r="G261" s="10">
        <v>7.3000000000000001E-3</v>
      </c>
    </row>
    <row r="262" spans="2:7" x14ac:dyDescent="0.3">
      <c r="B262" s="22">
        <v>37987</v>
      </c>
      <c r="C262" s="10">
        <v>5.2229999999999999E-2</v>
      </c>
      <c r="D262" s="10">
        <v>5.2229999999999999E-2</v>
      </c>
      <c r="E262" s="10">
        <v>5.2229999999999999E-2</v>
      </c>
      <c r="F262" s="10">
        <v>5.2229999999999999E-2</v>
      </c>
      <c r="G262" s="10">
        <v>1.9699999999999999E-2</v>
      </c>
    </row>
    <row r="263" spans="2:7" x14ac:dyDescent="0.3">
      <c r="B263" s="22">
        <v>37956</v>
      </c>
      <c r="C263" s="10">
        <v>5.1220000000000002E-2</v>
      </c>
      <c r="D263" s="10">
        <v>5.1220000000000002E-2</v>
      </c>
      <c r="E263" s="10">
        <v>5.1220000000000002E-2</v>
      </c>
      <c r="F263" s="10">
        <v>5.1220000000000002E-2</v>
      </c>
      <c r="G263" s="10">
        <v>-7.0000000000000001E-3</v>
      </c>
    </row>
    <row r="264" spans="2:7" x14ac:dyDescent="0.3">
      <c r="B264" s="22">
        <v>37926</v>
      </c>
      <c r="C264" s="10">
        <v>5.1580000000000001E-2</v>
      </c>
      <c r="D264" s="10">
        <v>5.1580000000000001E-2</v>
      </c>
      <c r="E264" s="10">
        <v>5.1580000000000001E-2</v>
      </c>
      <c r="F264" s="10">
        <v>5.1580000000000001E-2</v>
      </c>
      <c r="G264" s="10">
        <v>1.14E-2</v>
      </c>
    </row>
    <row r="265" spans="2:7" x14ac:dyDescent="0.3">
      <c r="B265" s="22">
        <v>37895</v>
      </c>
      <c r="C265" s="10">
        <v>5.0999999999999997E-2</v>
      </c>
      <c r="D265" s="10">
        <v>5.0999999999999997E-2</v>
      </c>
      <c r="E265" s="10">
        <v>5.0999999999999997E-2</v>
      </c>
      <c r="F265" s="10">
        <v>5.0999999999999997E-2</v>
      </c>
      <c r="G265" s="10">
        <v>-1.43E-2</v>
      </c>
    </row>
    <row r="266" spans="2:7" x14ac:dyDescent="0.3">
      <c r="B266" s="22">
        <v>37865</v>
      </c>
      <c r="C266" s="10">
        <v>5.1740000000000001E-2</v>
      </c>
      <c r="D266" s="10">
        <v>5.1740000000000001E-2</v>
      </c>
      <c r="E266" s="10">
        <v>5.1740000000000001E-2</v>
      </c>
      <c r="F266" s="10">
        <v>5.1740000000000001E-2</v>
      </c>
      <c r="G266" s="10">
        <v>-1.7100000000000001E-2</v>
      </c>
    </row>
    <row r="267" spans="2:7" x14ac:dyDescent="0.3">
      <c r="B267" s="22">
        <v>37834</v>
      </c>
      <c r="C267" s="10">
        <v>5.2639999999999999E-2</v>
      </c>
      <c r="D267" s="10">
        <v>5.2639999999999999E-2</v>
      </c>
      <c r="E267" s="10">
        <v>5.2639999999999999E-2</v>
      </c>
      <c r="F267" s="10">
        <v>5.2639999999999999E-2</v>
      </c>
      <c r="G267" s="10">
        <v>-6.2700000000000006E-2</v>
      </c>
    </row>
    <row r="268" spans="2:7" x14ac:dyDescent="0.3">
      <c r="B268" s="22">
        <v>37803</v>
      </c>
      <c r="C268" s="10">
        <v>5.6159999999999995E-2</v>
      </c>
      <c r="D268" s="10">
        <v>5.6159999999999995E-2</v>
      </c>
      <c r="E268" s="10">
        <v>5.6159999999999995E-2</v>
      </c>
      <c r="F268" s="10">
        <v>5.6159999999999995E-2</v>
      </c>
      <c r="G268" s="10">
        <v>-1.9599999999999999E-2</v>
      </c>
    </row>
    <row r="269" spans="2:7" x14ac:dyDescent="0.3">
      <c r="B269" s="22">
        <v>37773</v>
      </c>
      <c r="C269" s="10">
        <v>5.7279999999999998E-2</v>
      </c>
      <c r="D269" s="10">
        <v>5.7279999999999998E-2</v>
      </c>
      <c r="E269" s="10">
        <v>5.7279999999999998E-2</v>
      </c>
      <c r="F269" s="10">
        <v>5.7279999999999998E-2</v>
      </c>
      <c r="G269" s="10">
        <v>-1.1900000000000001E-2</v>
      </c>
    </row>
    <row r="270" spans="2:7" x14ac:dyDescent="0.3">
      <c r="B270" s="22">
        <v>37742</v>
      </c>
      <c r="C270" s="10">
        <v>5.7969999999999994E-2</v>
      </c>
      <c r="D270" s="10">
        <v>5.7969999999999994E-2</v>
      </c>
      <c r="E270" s="10">
        <v>5.7969999999999994E-2</v>
      </c>
      <c r="F270" s="10">
        <v>5.7969999999999994E-2</v>
      </c>
      <c r="G270" s="10">
        <v>-1.4500000000000001E-2</v>
      </c>
    </row>
    <row r="271" spans="2:7" x14ac:dyDescent="0.3">
      <c r="B271" s="22">
        <v>37712</v>
      </c>
      <c r="C271" s="10">
        <v>5.8819999999999997E-2</v>
      </c>
      <c r="D271" s="10">
        <v>5.8819999999999997E-2</v>
      </c>
      <c r="E271" s="10">
        <v>5.8819999999999997E-2</v>
      </c>
      <c r="F271" s="10">
        <v>5.8819999999999997E-2</v>
      </c>
      <c r="G271" s="10">
        <v>-0.04</v>
      </c>
    </row>
    <row r="272" spans="2:7" x14ac:dyDescent="0.3">
      <c r="B272" s="22">
        <v>37681</v>
      </c>
      <c r="C272" s="10">
        <v>6.1269999999999998E-2</v>
      </c>
      <c r="D272" s="10">
        <v>6.1269999999999998E-2</v>
      </c>
      <c r="E272" s="10">
        <v>6.1269999999999998E-2</v>
      </c>
      <c r="F272" s="10">
        <v>6.1269999999999998E-2</v>
      </c>
      <c r="G272" s="10">
        <v>2.7E-2</v>
      </c>
    </row>
    <row r="273" spans="2:7" x14ac:dyDescent="0.3">
      <c r="B273" s="22">
        <v>37653</v>
      </c>
      <c r="C273" s="10">
        <v>5.9660000000000005E-2</v>
      </c>
      <c r="D273" s="10">
        <v>5.9660000000000005E-2</v>
      </c>
      <c r="E273" s="10">
        <v>5.9660000000000005E-2</v>
      </c>
      <c r="F273" s="10">
        <v>5.9660000000000005E-2</v>
      </c>
      <c r="G273" s="10">
        <v>-5.6500000000000002E-2</v>
      </c>
    </row>
    <row r="274" spans="2:7" x14ac:dyDescent="0.3">
      <c r="B274" s="22">
        <v>37622</v>
      </c>
      <c r="C274" s="10">
        <v>6.3230000000000008E-2</v>
      </c>
      <c r="D274" s="10">
        <v>6.3230000000000008E-2</v>
      </c>
      <c r="E274" s="10">
        <v>6.3230000000000008E-2</v>
      </c>
      <c r="F274" s="10">
        <v>6.3230000000000008E-2</v>
      </c>
      <c r="G274" s="10">
        <v>3.95E-2</v>
      </c>
    </row>
    <row r="275" spans="2:7" x14ac:dyDescent="0.3">
      <c r="B275" s="22">
        <v>37591</v>
      </c>
      <c r="C275" s="10">
        <v>6.0830000000000002E-2</v>
      </c>
      <c r="D275" s="10">
        <v>6.0830000000000002E-2</v>
      </c>
      <c r="E275" s="10">
        <v>6.0830000000000002E-2</v>
      </c>
      <c r="F275" s="10">
        <v>6.0830000000000002E-2</v>
      </c>
      <c r="G275" s="10">
        <v>-5.3199999999999997E-2</v>
      </c>
    </row>
    <row r="276" spans="2:7" x14ac:dyDescent="0.3">
      <c r="B276" s="22">
        <v>37561</v>
      </c>
      <c r="C276" s="10">
        <v>6.4250000000000002E-2</v>
      </c>
      <c r="D276" s="10">
        <v>6.4250000000000002E-2</v>
      </c>
      <c r="E276" s="10">
        <v>6.4250000000000002E-2</v>
      </c>
      <c r="F276" s="10">
        <v>6.4250000000000002E-2</v>
      </c>
      <c r="G276" s="10">
        <v>-7.22E-2</v>
      </c>
    </row>
    <row r="277" spans="2:7" x14ac:dyDescent="0.3">
      <c r="B277" s="22">
        <v>37530</v>
      </c>
      <c r="C277" s="10">
        <v>6.9249999999999992E-2</v>
      </c>
      <c r="D277" s="10">
        <v>6.9249999999999992E-2</v>
      </c>
      <c r="E277" s="10">
        <v>6.9249999999999992E-2</v>
      </c>
      <c r="F277" s="10">
        <v>6.9249999999999992E-2</v>
      </c>
      <c r="G277" s="10">
        <v>-3.39E-2</v>
      </c>
    </row>
    <row r="278" spans="2:7" x14ac:dyDescent="0.3">
      <c r="B278" s="22">
        <v>37500</v>
      </c>
      <c r="C278" s="10">
        <v>7.1680000000000008E-2</v>
      </c>
      <c r="D278" s="10">
        <v>7.1680000000000008E-2</v>
      </c>
      <c r="E278" s="10">
        <v>7.1680000000000008E-2</v>
      </c>
      <c r="F278" s="10">
        <v>7.1680000000000008E-2</v>
      </c>
      <c r="G278" s="10">
        <v>1E-3</v>
      </c>
    </row>
    <row r="279" spans="2:7" x14ac:dyDescent="0.3">
      <c r="B279" s="22">
        <v>37469</v>
      </c>
      <c r="C279" s="10">
        <v>7.1609999999999993E-2</v>
      </c>
      <c r="D279" s="10">
        <v>7.1609999999999993E-2</v>
      </c>
      <c r="E279" s="10">
        <v>7.1609999999999993E-2</v>
      </c>
      <c r="F279" s="10">
        <v>7.1609999999999993E-2</v>
      </c>
      <c r="G279" s="10">
        <v>-2.01E-2</v>
      </c>
    </row>
    <row r="280" spans="2:7" x14ac:dyDescent="0.3">
      <c r="B280" s="22">
        <v>37438</v>
      </c>
      <c r="C280" s="10">
        <v>7.3079999999999992E-2</v>
      </c>
      <c r="D280" s="10">
        <v>7.3079999999999992E-2</v>
      </c>
      <c r="E280" s="10">
        <v>7.3079999999999992E-2</v>
      </c>
      <c r="F280" s="10">
        <v>7.3079999999999992E-2</v>
      </c>
      <c r="G280" s="10">
        <v>-2.3599999999999999E-2</v>
      </c>
    </row>
    <row r="281" spans="2:7" x14ac:dyDescent="0.3">
      <c r="B281" s="22">
        <v>37408</v>
      </c>
      <c r="C281" s="10">
        <v>7.485E-2</v>
      </c>
      <c r="D281" s="10">
        <v>7.485E-2</v>
      </c>
      <c r="E281" s="10">
        <v>7.485E-2</v>
      </c>
      <c r="F281" s="10">
        <v>7.485E-2</v>
      </c>
      <c r="G281" s="10">
        <v>-3.0800000000000001E-2</v>
      </c>
    </row>
    <row r="282" spans="2:7" x14ac:dyDescent="0.3">
      <c r="B282" s="22">
        <v>37377</v>
      </c>
      <c r="C282" s="10">
        <v>7.7229999999999993E-2</v>
      </c>
      <c r="D282" s="10">
        <v>7.7229999999999993E-2</v>
      </c>
      <c r="E282" s="10">
        <v>7.7229999999999993E-2</v>
      </c>
      <c r="F282" s="10">
        <v>7.7229999999999993E-2</v>
      </c>
      <c r="G282" s="10">
        <v>4.2200000000000001E-2</v>
      </c>
    </row>
    <row r="283" spans="2:7" x14ac:dyDescent="0.3">
      <c r="B283" s="22">
        <v>37347</v>
      </c>
      <c r="C283" s="10">
        <v>7.4099999999999999E-2</v>
      </c>
      <c r="D283" s="10">
        <v>7.4099999999999999E-2</v>
      </c>
      <c r="E283" s="10">
        <v>7.4099999999999999E-2</v>
      </c>
      <c r="F283" s="10">
        <v>7.4099999999999999E-2</v>
      </c>
      <c r="G283" s="10">
        <v>6.8999999999999999E-3</v>
      </c>
    </row>
    <row r="284" spans="2:7" x14ac:dyDescent="0.3">
      <c r="B284" s="22">
        <v>37316</v>
      </c>
      <c r="C284" s="10">
        <v>7.3590000000000003E-2</v>
      </c>
      <c r="D284" s="10">
        <v>7.3590000000000003E-2</v>
      </c>
      <c r="E284" s="10">
        <v>7.3590000000000003E-2</v>
      </c>
      <c r="F284" s="10">
        <v>7.3590000000000003E-2</v>
      </c>
      <c r="G284" s="10">
        <v>-3.5099999999999999E-2</v>
      </c>
    </row>
    <row r="285" spans="2:7" x14ac:dyDescent="0.3">
      <c r="B285" s="22">
        <v>37288</v>
      </c>
      <c r="C285" s="10">
        <v>7.6270000000000004E-2</v>
      </c>
      <c r="D285" s="10">
        <v>7.6270000000000004E-2</v>
      </c>
      <c r="E285" s="10">
        <v>7.6270000000000004E-2</v>
      </c>
      <c r="F285" s="10">
        <v>7.6270000000000004E-2</v>
      </c>
      <c r="G285" s="10">
        <v>-5.4999999999999997E-3</v>
      </c>
    </row>
    <row r="286" spans="2:7" x14ac:dyDescent="0.3">
      <c r="B286" s="22">
        <v>37257</v>
      </c>
      <c r="C286" s="10">
        <v>7.6689999999999994E-2</v>
      </c>
      <c r="D286" s="10">
        <v>7.6689999999999994E-2</v>
      </c>
      <c r="E286" s="10">
        <v>7.6689999999999994E-2</v>
      </c>
      <c r="F286" s="10">
        <v>7.6689999999999994E-2</v>
      </c>
      <c r="G286" s="10">
        <v>-3.4000000000000002E-2</v>
      </c>
    </row>
    <row r="287" spans="2:7" x14ac:dyDescent="0.3">
      <c r="B287" s="22">
        <v>37226</v>
      </c>
      <c r="C287" s="10">
        <v>7.9390000000000002E-2</v>
      </c>
      <c r="D287" s="10">
        <v>7.9390000000000002E-2</v>
      </c>
      <c r="E287" s="10">
        <v>7.9390000000000002E-2</v>
      </c>
      <c r="F287" s="10">
        <v>7.9390000000000002E-2</v>
      </c>
      <c r="G287" s="10">
        <v>7.4999999999999997E-3</v>
      </c>
    </row>
    <row r="288" spans="2:7" x14ac:dyDescent="0.3">
      <c r="B288" s="22">
        <v>37196</v>
      </c>
      <c r="C288" s="10">
        <v>7.8799999999999995E-2</v>
      </c>
      <c r="D288" s="10">
        <v>7.8799999999999995E-2</v>
      </c>
      <c r="E288" s="10">
        <v>7.8799999999999995E-2</v>
      </c>
      <c r="F288" s="10">
        <v>7.8799999999999995E-2</v>
      </c>
      <c r="G288" s="10">
        <v>-0.1045</v>
      </c>
    </row>
    <row r="289" spans="2:7" x14ac:dyDescent="0.3">
      <c r="B289" s="22">
        <v>37165</v>
      </c>
      <c r="C289" s="10">
        <v>8.8000000000000009E-2</v>
      </c>
      <c r="D289" s="10">
        <v>8.8000000000000009E-2</v>
      </c>
      <c r="E289" s="10">
        <v>8.8000000000000009E-2</v>
      </c>
      <c r="F289" s="10">
        <v>8.8000000000000009E-2</v>
      </c>
      <c r="G289" s="10">
        <v>-3.5299999999999998E-2</v>
      </c>
    </row>
    <row r="290" spans="2:7" x14ac:dyDescent="0.3">
      <c r="B290" s="22">
        <v>37135</v>
      </c>
      <c r="C290" s="10">
        <v>9.1219999999999996E-2</v>
      </c>
      <c r="D290" s="10">
        <v>9.1219999999999996E-2</v>
      </c>
      <c r="E290" s="10">
        <v>9.1219999999999996E-2</v>
      </c>
      <c r="F290" s="10">
        <v>9.1219999999999996E-2</v>
      </c>
      <c r="G290" s="10">
        <v>8.9999999999999998E-4</v>
      </c>
    </row>
    <row r="291" spans="2:7" x14ac:dyDescent="0.3">
      <c r="B291" s="22">
        <v>37104</v>
      </c>
      <c r="C291" s="10">
        <v>9.1140000000000013E-2</v>
      </c>
      <c r="D291" s="10">
        <v>9.1140000000000013E-2</v>
      </c>
      <c r="E291" s="10">
        <v>9.1140000000000013E-2</v>
      </c>
      <c r="F291" s="10">
        <v>9.1140000000000013E-2</v>
      </c>
      <c r="G291" s="10">
        <v>-2.6599999999999999E-2</v>
      </c>
    </row>
    <row r="292" spans="2:7" x14ac:dyDescent="0.3">
      <c r="B292" s="22">
        <v>37073</v>
      </c>
      <c r="C292" s="10">
        <v>9.3629999999999991E-2</v>
      </c>
      <c r="D292" s="10">
        <v>9.3629999999999991E-2</v>
      </c>
      <c r="E292" s="10">
        <v>9.3629999999999991E-2</v>
      </c>
      <c r="F292" s="10">
        <v>9.3629999999999991E-2</v>
      </c>
      <c r="G292" s="10">
        <v>-1.4500000000000001E-2</v>
      </c>
    </row>
    <row r="293" spans="2:7" x14ac:dyDescent="0.3">
      <c r="B293" s="22">
        <v>37043</v>
      </c>
      <c r="C293" s="10">
        <v>9.5009999999999997E-2</v>
      </c>
      <c r="D293" s="10">
        <v>9.5009999999999997E-2</v>
      </c>
      <c r="E293" s="10">
        <v>9.5009999999999997E-2</v>
      </c>
      <c r="F293" s="10">
        <v>9.5009999999999997E-2</v>
      </c>
      <c r="G293" s="10">
        <v>-2.6700000000000002E-2</v>
      </c>
    </row>
    <row r="294" spans="2:7" x14ac:dyDescent="0.3">
      <c r="B294" s="22">
        <v>37012</v>
      </c>
      <c r="C294" s="10">
        <v>9.7619999999999998E-2</v>
      </c>
      <c r="D294" s="10">
        <v>9.7619999999999998E-2</v>
      </c>
      <c r="E294" s="10">
        <v>9.7619999999999998E-2</v>
      </c>
      <c r="F294" s="10">
        <v>9.7619999999999998E-2</v>
      </c>
      <c r="G294" s="10">
        <v>-3.5900000000000001E-2</v>
      </c>
    </row>
    <row r="295" spans="2:7" x14ac:dyDescent="0.3">
      <c r="B295" s="22">
        <v>36982</v>
      </c>
      <c r="C295" s="10">
        <v>0.10125000000000001</v>
      </c>
      <c r="D295" s="10">
        <v>0.10125000000000001</v>
      </c>
      <c r="E295" s="10">
        <v>0.10125000000000001</v>
      </c>
      <c r="F295" s="10">
        <v>0.10125000000000001</v>
      </c>
      <c r="G295" s="10">
        <v>-2.01E-2</v>
      </c>
    </row>
    <row r="296" spans="2:7" x14ac:dyDescent="0.3">
      <c r="B296" s="22">
        <v>36951</v>
      </c>
      <c r="C296" s="10">
        <v>0.10333000000000001</v>
      </c>
      <c r="D296" s="10">
        <v>0.10333000000000001</v>
      </c>
      <c r="E296" s="10">
        <v>0.10333000000000001</v>
      </c>
      <c r="F296" s="10">
        <v>0.10333000000000001</v>
      </c>
      <c r="G296" s="10">
        <v>2.53E-2</v>
      </c>
    </row>
    <row r="297" spans="2:7" x14ac:dyDescent="0.3">
      <c r="B297" s="22">
        <v>36923</v>
      </c>
      <c r="C297" s="10">
        <v>0.10077999999999999</v>
      </c>
      <c r="D297" s="10">
        <v>0.10077999999999999</v>
      </c>
      <c r="E297" s="10">
        <v>0.10077999999999999</v>
      </c>
      <c r="F297" s="10">
        <v>0.10077999999999999</v>
      </c>
      <c r="G297" s="10">
        <v>-3.32E-2</v>
      </c>
    </row>
    <row r="298" spans="2:7" x14ac:dyDescent="0.3">
      <c r="B298" s="22">
        <v>36892</v>
      </c>
      <c r="C298" s="10">
        <v>0.10424</v>
      </c>
      <c r="D298" s="10">
        <v>0.10424</v>
      </c>
      <c r="E298" s="10">
        <v>0.10424</v>
      </c>
      <c r="F298" s="10">
        <v>0.10424</v>
      </c>
      <c r="G298" s="10">
        <v>-4.2299999999999997E-2</v>
      </c>
    </row>
    <row r="299" spans="2:7" x14ac:dyDescent="0.3">
      <c r="B299" s="22">
        <v>36861</v>
      </c>
      <c r="C299" s="10">
        <v>0.10884000000000001</v>
      </c>
      <c r="D299" s="10">
        <v>0.10884000000000001</v>
      </c>
      <c r="E299" s="10">
        <v>0.10884000000000001</v>
      </c>
      <c r="F299" s="10">
        <v>0.10884000000000001</v>
      </c>
      <c r="G299" s="10">
        <v>-4.0899999999999999E-2</v>
      </c>
    </row>
    <row r="300" spans="2:7" x14ac:dyDescent="0.3">
      <c r="B300" s="22">
        <v>36831</v>
      </c>
      <c r="C300" s="10">
        <v>0.11348000000000001</v>
      </c>
      <c r="D300" s="10">
        <v>0.11348000000000001</v>
      </c>
      <c r="E300" s="10">
        <v>0.11348000000000001</v>
      </c>
      <c r="F300" s="10">
        <v>0.11348000000000001</v>
      </c>
      <c r="G300" s="10">
        <v>-2.1700000000000001E-2</v>
      </c>
    </row>
    <row r="301" spans="2:7" x14ac:dyDescent="0.3">
      <c r="B301" s="22">
        <v>36800</v>
      </c>
      <c r="C301" s="10">
        <v>0.11599999999999999</v>
      </c>
      <c r="D301" s="10">
        <v>0.11599999999999999</v>
      </c>
      <c r="E301" s="10">
        <v>0.11599999999999999</v>
      </c>
      <c r="F301" s="10">
        <v>0.11599999999999999</v>
      </c>
      <c r="G301" s="10">
        <v>5.1999999999999998E-3</v>
      </c>
    </row>
    <row r="302" spans="2:7" x14ac:dyDescent="0.3">
      <c r="B302" s="22">
        <v>36770</v>
      </c>
      <c r="C302" s="10">
        <v>0.11539999999999999</v>
      </c>
      <c r="D302" s="10">
        <v>0.11539999999999999</v>
      </c>
      <c r="E302" s="10">
        <v>0.11539999999999999</v>
      </c>
      <c r="F302" s="10">
        <v>0.11539999999999999</v>
      </c>
      <c r="G302" s="10">
        <v>3.0000000000000001E-3</v>
      </c>
    </row>
    <row r="303" spans="2:7" x14ac:dyDescent="0.3">
      <c r="B303" s="22">
        <v>36739</v>
      </c>
      <c r="C303" s="10">
        <v>0.11505000000000001</v>
      </c>
      <c r="D303" s="10">
        <v>0.11505000000000001</v>
      </c>
      <c r="E303" s="10">
        <v>0.11505000000000001</v>
      </c>
      <c r="F303" s="10">
        <v>0.11505000000000001</v>
      </c>
      <c r="G303" s="10">
        <v>1.3299999999999999E-2</v>
      </c>
    </row>
    <row r="304" spans="2:7" x14ac:dyDescent="0.3">
      <c r="B304" s="22">
        <v>36708</v>
      </c>
      <c r="C304" s="10">
        <v>0.11353999999999999</v>
      </c>
      <c r="D304" s="10">
        <v>0.11353999999999999</v>
      </c>
      <c r="E304" s="10">
        <v>0.11353999999999999</v>
      </c>
      <c r="F304" s="10">
        <v>0.11353999999999999</v>
      </c>
      <c r="G304" s="10">
        <v>2.6700000000000002E-2</v>
      </c>
    </row>
    <row r="305" spans="2:7" x14ac:dyDescent="0.3">
      <c r="B305" s="22">
        <v>36678</v>
      </c>
      <c r="C305" s="10">
        <v>0.11058999999999999</v>
      </c>
      <c r="D305" s="10">
        <v>0.11058999999999999</v>
      </c>
      <c r="E305" s="10">
        <v>0.11058999999999999</v>
      </c>
      <c r="F305" s="10">
        <v>0.11058999999999999</v>
      </c>
      <c r="G305" s="10">
        <v>2.1399999999999999E-2</v>
      </c>
    </row>
    <row r="306" spans="2:7" x14ac:dyDescent="0.3">
      <c r="B306" s="22">
        <v>36647</v>
      </c>
      <c r="C306" s="10">
        <v>0.10827000000000001</v>
      </c>
      <c r="D306" s="10">
        <v>0.10827000000000001</v>
      </c>
      <c r="E306" s="10">
        <v>0.10827000000000001</v>
      </c>
      <c r="F306" s="10">
        <v>0.10827000000000001</v>
      </c>
      <c r="G306" s="10">
        <v>4.4699999999999997E-2</v>
      </c>
    </row>
    <row r="307" spans="2:7" x14ac:dyDescent="0.3">
      <c r="B307" s="22">
        <v>36617</v>
      </c>
      <c r="C307" s="10">
        <v>0.10364000000000001</v>
      </c>
      <c r="D307" s="10">
        <v>0.10364000000000001</v>
      </c>
      <c r="E307" s="10">
        <v>0.10364000000000001</v>
      </c>
      <c r="F307" s="10">
        <v>0.10364000000000001</v>
      </c>
      <c r="G307" s="10">
        <v>-3.6400000000000002E-2</v>
      </c>
    </row>
    <row r="308" spans="2:7" x14ac:dyDescent="0.3">
      <c r="B308" s="22">
        <v>36586</v>
      </c>
      <c r="C308" s="10">
        <v>0.10756</v>
      </c>
      <c r="D308" s="10">
        <v>0.10756</v>
      </c>
      <c r="E308" s="10">
        <v>0.10756</v>
      </c>
      <c r="F308" s="10">
        <v>0.10756</v>
      </c>
      <c r="G308" s="10">
        <v>3.3700000000000001E-2</v>
      </c>
    </row>
    <row r="309" spans="2:7" x14ac:dyDescent="0.3">
      <c r="B309" s="22">
        <v>36557</v>
      </c>
      <c r="C309" s="10">
        <v>0.10404999999999999</v>
      </c>
      <c r="D309" s="10">
        <v>0.10404999999999999</v>
      </c>
      <c r="E309" s="10">
        <v>0.10404999999999999</v>
      </c>
      <c r="F309" s="10">
        <v>0.10404999999999999</v>
      </c>
      <c r="G309" s="10">
        <v>-4.5199999999999997E-2</v>
      </c>
    </row>
    <row r="310" spans="2:7" x14ac:dyDescent="0.3">
      <c r="B310" s="22">
        <v>36526</v>
      </c>
      <c r="C310" s="10">
        <v>0.10897</v>
      </c>
      <c r="D310" s="10">
        <v>0.10897</v>
      </c>
      <c r="E310" s="10">
        <v>0.10897</v>
      </c>
      <c r="F310" s="10">
        <v>0.10897</v>
      </c>
      <c r="G310" s="10">
        <v>-2.6800000000000001E-2</v>
      </c>
    </row>
    <row r="311" spans="2:7" x14ac:dyDescent="0.3">
      <c r="B311" s="22">
        <v>36495</v>
      </c>
      <c r="C311" s="10">
        <v>0.11196999999999999</v>
      </c>
      <c r="D311" s="10">
        <v>0.11196999999999999</v>
      </c>
      <c r="E311" s="10">
        <v>0.11196999999999999</v>
      </c>
      <c r="F311" s="10">
        <v>0.11196999999999999</v>
      </c>
      <c r="G311" s="10">
        <v>-1.6400000000000001E-2</v>
      </c>
    </row>
    <row r="312" spans="2:7" x14ac:dyDescent="0.3">
      <c r="B312" s="22">
        <v>36465</v>
      </c>
      <c r="C312" s="10">
        <v>0.11384</v>
      </c>
      <c r="D312" s="10">
        <v>0.11384</v>
      </c>
      <c r="E312" s="10">
        <v>0.11384</v>
      </c>
      <c r="F312" s="10">
        <v>0.11384</v>
      </c>
      <c r="G312" s="10">
        <v>-1.1900000000000001E-2</v>
      </c>
    </row>
    <row r="313" spans="2:7" x14ac:dyDescent="0.3">
      <c r="B313" s="22">
        <v>36434</v>
      </c>
      <c r="C313" s="10">
        <v>0.11521000000000001</v>
      </c>
      <c r="D313" s="10">
        <v>0.11521000000000001</v>
      </c>
      <c r="E313" s="10">
        <v>0.11521000000000001</v>
      </c>
      <c r="F313" s="10">
        <v>0.11521000000000001</v>
      </c>
      <c r="G313" s="10">
        <v>-9.7000000000000003E-3</v>
      </c>
    </row>
    <row r="314" spans="2:7" x14ac:dyDescent="0.3">
      <c r="B314" s="22">
        <v>36404</v>
      </c>
      <c r="C314" s="10">
        <v>0.11634</v>
      </c>
      <c r="D314" s="10">
        <v>0.11634</v>
      </c>
      <c r="E314" s="10">
        <v>0.11634</v>
      </c>
      <c r="F314" s="10">
        <v>0.11634</v>
      </c>
      <c r="G314" s="10">
        <v>4.0000000000000001E-3</v>
      </c>
    </row>
    <row r="315" spans="2:7" x14ac:dyDescent="0.3">
      <c r="B315" s="22">
        <v>36373</v>
      </c>
      <c r="C315" s="10">
        <v>0.11588</v>
      </c>
      <c r="D315" s="10">
        <v>0.11588</v>
      </c>
      <c r="E315" s="10">
        <v>0.11588</v>
      </c>
      <c r="F315" s="10">
        <v>0.11588</v>
      </c>
      <c r="G315" s="10">
        <v>-7.3000000000000001E-3</v>
      </c>
    </row>
    <row r="316" spans="2:7" x14ac:dyDescent="0.3">
      <c r="B316" s="22">
        <v>36342</v>
      </c>
      <c r="C316" s="10">
        <v>0.11673</v>
      </c>
      <c r="D316" s="10">
        <v>0.11673</v>
      </c>
      <c r="E316" s="10">
        <v>0.11673</v>
      </c>
      <c r="F316" s="10">
        <v>0.11673</v>
      </c>
      <c r="G316" s="10">
        <v>-1.4999999999999999E-2</v>
      </c>
    </row>
    <row r="317" spans="2:7" x14ac:dyDescent="0.3">
      <c r="B317" s="22">
        <v>36312</v>
      </c>
      <c r="C317" s="10">
        <v>0.11851</v>
      </c>
      <c r="D317" s="10">
        <v>0.11851</v>
      </c>
      <c r="E317" s="10">
        <v>0.11851</v>
      </c>
      <c r="F317" s="10">
        <v>0.11851</v>
      </c>
      <c r="G317" s="10">
        <v>1.29E-2</v>
      </c>
    </row>
    <row r="318" spans="2:7" x14ac:dyDescent="0.3">
      <c r="B318" s="22">
        <v>36281</v>
      </c>
      <c r="C318" s="10">
        <v>0.11699999999999999</v>
      </c>
      <c r="D318" s="10">
        <v>0.11699999999999999</v>
      </c>
      <c r="E318" s="10">
        <v>0.11699999999999999</v>
      </c>
      <c r="F318" s="10">
        <v>0.11699999999999999</v>
      </c>
      <c r="G318" s="10">
        <v>-1.5599999999999999E-2</v>
      </c>
    </row>
    <row r="319" spans="2:7" x14ac:dyDescent="0.3">
      <c r="B319" s="22">
        <v>36251</v>
      </c>
      <c r="C319" s="10">
        <v>0.11885999999999999</v>
      </c>
      <c r="D319" s="10">
        <v>0.11885999999999999</v>
      </c>
      <c r="E319" s="10">
        <v>0.11885999999999999</v>
      </c>
      <c r="F319" s="10">
        <v>0.11885999999999999</v>
      </c>
      <c r="G319" s="10">
        <v>-8.9999999999999993E-3</v>
      </c>
    </row>
    <row r="320" spans="2:7" x14ac:dyDescent="0.3">
      <c r="B320" s="22">
        <v>36220</v>
      </c>
      <c r="C320" s="10">
        <v>0.11993999999999999</v>
      </c>
      <c r="D320" s="10">
        <v>0.11993999999999999</v>
      </c>
      <c r="E320" s="10">
        <v>0.11993999999999999</v>
      </c>
      <c r="F320" s="10">
        <v>0.11993999999999999</v>
      </c>
      <c r="G320" s="10">
        <v>-1.8700000000000001E-2</v>
      </c>
    </row>
    <row r="321" spans="2:7" x14ac:dyDescent="0.3">
      <c r="B321" s="22">
        <v>36192</v>
      </c>
      <c r="C321" s="10">
        <v>0.12223000000000001</v>
      </c>
      <c r="D321" s="10">
        <v>0.12223000000000001</v>
      </c>
      <c r="E321" s="10">
        <v>0.12223000000000001</v>
      </c>
      <c r="F321" s="10">
        <v>0.12223000000000001</v>
      </c>
      <c r="G321" s="10">
        <v>2.9999999999999997E-4</v>
      </c>
    </row>
    <row r="322" spans="2:7" x14ac:dyDescent="0.3">
      <c r="B322" s="22">
        <v>36161</v>
      </c>
      <c r="C322" s="10">
        <v>0.12218999999999999</v>
      </c>
      <c r="D322" s="10">
        <v>0.12218999999999999</v>
      </c>
      <c r="E322" s="10">
        <v>0.12218999999999999</v>
      </c>
      <c r="F322" s="10">
        <v>0.12218999999999999</v>
      </c>
      <c r="G322" s="10">
        <v>5.0000000000000001E-4</v>
      </c>
    </row>
    <row r="323" spans="2:7" x14ac:dyDescent="0.3">
      <c r="B323" s="22">
        <v>36130</v>
      </c>
      <c r="C323" s="10">
        <v>0.12212999999999999</v>
      </c>
      <c r="D323" s="10">
        <v>0.12212999999999999</v>
      </c>
      <c r="E323" s="10">
        <v>0.12212999999999999</v>
      </c>
      <c r="F323" s="10">
        <v>0.12212999999999999</v>
      </c>
      <c r="G323" s="10">
        <v>-6.9999999999999999E-4</v>
      </c>
    </row>
    <row r="324" spans="2:7" x14ac:dyDescent="0.3">
      <c r="B324" s="22">
        <v>36100</v>
      </c>
      <c r="C324" s="10">
        <v>0.12221</v>
      </c>
      <c r="D324" s="10">
        <v>0.12221</v>
      </c>
      <c r="E324" s="10">
        <v>0.12221</v>
      </c>
      <c r="F324" s="10">
        <v>0.12221</v>
      </c>
      <c r="G324" s="10">
        <v>-6.6E-3</v>
      </c>
    </row>
    <row r="325" spans="2:7" x14ac:dyDescent="0.3">
      <c r="B325" s="22">
        <v>36069</v>
      </c>
      <c r="C325" s="10">
        <v>0.12301999999999999</v>
      </c>
      <c r="D325" s="10">
        <v>0.12301999999999999</v>
      </c>
      <c r="E325" s="10">
        <v>0.12301999999999999</v>
      </c>
      <c r="F325" s="10">
        <v>0.12301999999999999</v>
      </c>
      <c r="G325" s="10">
        <v>1.1999999999999999E-3</v>
      </c>
    </row>
    <row r="326" spans="2:7" x14ac:dyDescent="0.3">
      <c r="B326" s="22">
        <v>36039</v>
      </c>
      <c r="C326" s="10">
        <v>0.12287000000000001</v>
      </c>
      <c r="D326" s="10">
        <v>0.12287000000000001</v>
      </c>
      <c r="E326" s="10">
        <v>0.12287000000000001</v>
      </c>
      <c r="F326" s="10">
        <v>0.12287000000000001</v>
      </c>
      <c r="G326" s="10">
        <v>3.8E-3</v>
      </c>
    </row>
    <row r="327" spans="2:7" x14ac:dyDescent="0.3">
      <c r="B327" s="22">
        <v>36008</v>
      </c>
      <c r="C327" s="10">
        <v>0.12240999999999999</v>
      </c>
      <c r="D327" s="10">
        <v>0.12240999999999999</v>
      </c>
      <c r="E327" s="10">
        <v>0.12240999999999999</v>
      </c>
      <c r="F327" s="10">
        <v>0.12240999999999999</v>
      </c>
      <c r="G327" s="10">
        <v>3.3999999999999998E-3</v>
      </c>
    </row>
    <row r="328" spans="2:7" x14ac:dyDescent="0.3">
      <c r="B328" s="22">
        <v>35977</v>
      </c>
      <c r="C328" s="10">
        <v>0.122</v>
      </c>
      <c r="D328" s="10">
        <v>0.122</v>
      </c>
      <c r="E328" s="10">
        <v>0.122</v>
      </c>
      <c r="F328" s="10">
        <v>0.122</v>
      </c>
      <c r="G328" s="10">
        <v>6.7999999999999996E-3</v>
      </c>
    </row>
    <row r="329" spans="2:7" x14ac:dyDescent="0.3">
      <c r="B329" s="22">
        <v>35947</v>
      </c>
      <c r="C329" s="10">
        <v>0.12117000000000001</v>
      </c>
      <c r="D329" s="10">
        <v>0.12117000000000001</v>
      </c>
      <c r="E329" s="10">
        <v>0.12117000000000001</v>
      </c>
      <c r="F329" s="10">
        <v>0.12117000000000001</v>
      </c>
      <c r="G329" s="10">
        <v>5.5999999999999999E-3</v>
      </c>
    </row>
    <row r="330" spans="2:7" x14ac:dyDescent="0.3">
      <c r="B330" s="22">
        <v>35916</v>
      </c>
      <c r="C330" s="10">
        <v>0.12049</v>
      </c>
      <c r="D330" s="10">
        <v>0.12049</v>
      </c>
      <c r="E330" s="10">
        <v>0.12049</v>
      </c>
      <c r="F330" s="10">
        <v>0.12049</v>
      </c>
      <c r="G330" s="10">
        <v>2.2700000000000001E-2</v>
      </c>
    </row>
    <row r="331" spans="2:7" x14ac:dyDescent="0.3">
      <c r="B331" s="22">
        <v>35886</v>
      </c>
      <c r="C331" s="10">
        <v>0.11781000000000001</v>
      </c>
      <c r="D331" s="10">
        <v>0.11781000000000001</v>
      </c>
      <c r="E331" s="10">
        <v>0.11781000000000001</v>
      </c>
      <c r="F331" s="10">
        <v>0.11781000000000001</v>
      </c>
      <c r="G331" s="10">
        <v>-2.52E-2</v>
      </c>
    </row>
    <row r="332" spans="2:7" x14ac:dyDescent="0.3">
      <c r="B332" s="22">
        <v>35855</v>
      </c>
      <c r="C332" s="10">
        <v>0.12086000000000001</v>
      </c>
      <c r="D332" s="10">
        <v>0.12086000000000001</v>
      </c>
      <c r="E332" s="10">
        <v>0.12086000000000001</v>
      </c>
      <c r="F332" s="10">
        <v>0.12086000000000001</v>
      </c>
      <c r="G332" s="10">
        <v>-5.2699999999999997E-2</v>
      </c>
    </row>
    <row r="334" spans="2:7" x14ac:dyDescent="0.3">
      <c r="B334" s="24" t="s">
        <v>134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A2BD-03C5-4489-838F-2D5D62B0E8A3}">
  <dimension ref="B2:G33"/>
  <sheetViews>
    <sheetView showGridLines="0" topLeftCell="A2" workbookViewId="0">
      <selection activeCell="I10" sqref="I10"/>
    </sheetView>
  </sheetViews>
  <sheetFormatPr defaultRowHeight="14.4" x14ac:dyDescent="0.3"/>
  <cols>
    <col min="1" max="1" width="1.88671875" customWidth="1"/>
    <col min="3" max="3" width="18.109375" bestFit="1" customWidth="1"/>
    <col min="5" max="5" width="19.21875" bestFit="1" customWidth="1"/>
  </cols>
  <sheetData>
    <row r="2" spans="2:7" x14ac:dyDescent="0.3">
      <c r="B2" s="7" t="s">
        <v>113</v>
      </c>
      <c r="C2" s="5" t="s">
        <v>114</v>
      </c>
    </row>
    <row r="3" spans="2:7" x14ac:dyDescent="0.3">
      <c r="B3" s="1">
        <v>1997</v>
      </c>
      <c r="C3" s="8">
        <v>0.02</v>
      </c>
    </row>
    <row r="4" spans="2:7" x14ac:dyDescent="0.3">
      <c r="B4" s="1">
        <v>1998</v>
      </c>
      <c r="C4" s="8">
        <v>0.02</v>
      </c>
      <c r="E4" s="5" t="s">
        <v>122</v>
      </c>
      <c r="F4" s="7" t="s">
        <v>118</v>
      </c>
      <c r="G4" s="12">
        <f>AVERAGE(C16:C30)</f>
        <v>2.3120000000000005E-2</v>
      </c>
    </row>
    <row r="5" spans="2:7" x14ac:dyDescent="0.3">
      <c r="B5" s="1">
        <v>1999</v>
      </c>
      <c r="C5" s="8">
        <v>1.9699999999999999E-2</v>
      </c>
      <c r="F5" s="1"/>
      <c r="G5" s="26"/>
    </row>
    <row r="6" spans="2:7" x14ac:dyDescent="0.3">
      <c r="B6" s="1">
        <v>2000</v>
      </c>
      <c r="C6" s="8">
        <v>1.9900000000000001E-2</v>
      </c>
      <c r="E6" s="5" t="s">
        <v>122</v>
      </c>
      <c r="F6" s="7" t="s">
        <v>119</v>
      </c>
      <c r="G6" s="12">
        <f>AVERAGE(C24:C30)</f>
        <v>1.8028571428571429E-2</v>
      </c>
    </row>
    <row r="7" spans="2:7" x14ac:dyDescent="0.3">
      <c r="B7" s="1">
        <v>2001</v>
      </c>
      <c r="C7" s="8">
        <v>5.5E-2</v>
      </c>
      <c r="F7" s="1"/>
      <c r="G7" s="26"/>
    </row>
    <row r="8" spans="2:7" x14ac:dyDescent="0.3">
      <c r="B8" s="1">
        <v>2002</v>
      </c>
      <c r="C8" s="8">
        <v>4.9200000000000001E-2</v>
      </c>
      <c r="E8" s="5" t="s">
        <v>122</v>
      </c>
      <c r="F8" s="7" t="s">
        <v>120</v>
      </c>
      <c r="G8" s="12">
        <f>AVERAGE(C26:C30)</f>
        <v>1.6840000000000001E-2</v>
      </c>
    </row>
    <row r="9" spans="2:7" x14ac:dyDescent="0.3">
      <c r="B9" s="1">
        <v>2003</v>
      </c>
      <c r="C9" s="8">
        <v>7.0800000000000002E-2</v>
      </c>
      <c r="F9" s="1"/>
      <c r="G9" s="26"/>
    </row>
    <row r="10" spans="2:7" x14ac:dyDescent="0.3">
      <c r="B10" s="1">
        <v>2004</v>
      </c>
      <c r="C10" s="8">
        <v>4.5600000000000002E-2</v>
      </c>
      <c r="E10" s="5" t="s">
        <v>122</v>
      </c>
      <c r="F10" s="7" t="s">
        <v>121</v>
      </c>
      <c r="G10" s="12">
        <f>C31</f>
        <v>1.67E-2</v>
      </c>
    </row>
    <row r="11" spans="2:7" x14ac:dyDescent="0.3">
      <c r="B11" s="1">
        <v>2005</v>
      </c>
      <c r="C11" s="8">
        <v>4.8599999999999997E-2</v>
      </c>
    </row>
    <row r="12" spans="2:7" x14ac:dyDescent="0.3">
      <c r="B12" s="1">
        <v>2006</v>
      </c>
      <c r="C12" s="8">
        <v>3.1800000000000002E-2</v>
      </c>
    </row>
    <row r="13" spans="2:7" x14ac:dyDescent="0.3">
      <c r="B13" s="1">
        <v>2007</v>
      </c>
      <c r="C13" s="8">
        <v>3.0800000000000001E-2</v>
      </c>
    </row>
    <row r="14" spans="2:7" x14ac:dyDescent="0.3">
      <c r="B14" s="1">
        <v>2008</v>
      </c>
      <c r="C14" s="8">
        <v>4.1099999999999998E-2</v>
      </c>
    </row>
    <row r="15" spans="2:7" x14ac:dyDescent="0.3">
      <c r="B15" s="1">
        <v>2009</v>
      </c>
      <c r="C15" s="8">
        <v>3.2199999999999999E-2</v>
      </c>
    </row>
    <row r="16" spans="2:7" x14ac:dyDescent="0.3">
      <c r="B16" s="1">
        <v>2010</v>
      </c>
      <c r="C16" s="8">
        <v>2.7E-2</v>
      </c>
    </row>
    <row r="17" spans="2:3" x14ac:dyDescent="0.3">
      <c r="B17" s="1">
        <v>2011</v>
      </c>
      <c r="C17" s="8">
        <v>3.6600000000000001E-2</v>
      </c>
    </row>
    <row r="18" spans="2:3" x14ac:dyDescent="0.3">
      <c r="B18" s="1">
        <v>2012</v>
      </c>
      <c r="C18" s="8">
        <v>3.6499999999999998E-2</v>
      </c>
    </row>
    <row r="19" spans="2:3" x14ac:dyDescent="0.3">
      <c r="B19" s="1">
        <v>2013</v>
      </c>
      <c r="C19" s="8">
        <v>2.8199999999999999E-2</v>
      </c>
    </row>
    <row r="20" spans="2:3" x14ac:dyDescent="0.3">
      <c r="B20" s="1">
        <v>2014</v>
      </c>
      <c r="C20" s="8">
        <v>2.3599999999999999E-2</v>
      </c>
    </row>
    <row r="21" spans="2:3" x14ac:dyDescent="0.3">
      <c r="B21" s="1">
        <v>2015</v>
      </c>
      <c r="C21" s="8">
        <v>2.5600000000000001E-2</v>
      </c>
    </row>
    <row r="22" spans="2:3" x14ac:dyDescent="0.3">
      <c r="B22" s="1">
        <v>2016</v>
      </c>
      <c r="C22" s="8">
        <v>2.3800000000000002E-2</v>
      </c>
    </row>
    <row r="23" spans="2:3" x14ac:dyDescent="0.3">
      <c r="B23" s="1">
        <v>2017</v>
      </c>
      <c r="C23" s="8">
        <v>1.9300000000000001E-2</v>
      </c>
    </row>
    <row r="24" spans="2:3" x14ac:dyDescent="0.3">
      <c r="B24" s="1">
        <v>2018</v>
      </c>
      <c r="C24" s="8">
        <v>2.01E-2</v>
      </c>
    </row>
    <row r="25" spans="2:3" x14ac:dyDescent="0.3">
      <c r="B25" s="1">
        <v>2019</v>
      </c>
      <c r="C25" s="8">
        <v>2.1899999999999999E-2</v>
      </c>
    </row>
    <row r="26" spans="2:3" x14ac:dyDescent="0.3">
      <c r="B26" s="1">
        <v>2020</v>
      </c>
      <c r="C26" s="8">
        <v>1.95E-2</v>
      </c>
    </row>
    <row r="27" spans="2:3" x14ac:dyDescent="0.3">
      <c r="B27" s="1">
        <v>2021</v>
      </c>
      <c r="C27" s="8">
        <v>1.8100000000000002E-2</v>
      </c>
    </row>
    <row r="28" spans="2:3" x14ac:dyDescent="0.3">
      <c r="B28" s="1">
        <v>2022</v>
      </c>
      <c r="C28" s="8">
        <v>1.5800000000000002E-2</v>
      </c>
    </row>
    <row r="29" spans="2:3" x14ac:dyDescent="0.3">
      <c r="B29" s="1">
        <v>2023</v>
      </c>
      <c r="C29" s="8">
        <v>1.6500000000000001E-2</v>
      </c>
    </row>
    <row r="30" spans="2:3" x14ac:dyDescent="0.3">
      <c r="B30" s="1">
        <v>2024</v>
      </c>
      <c r="C30" s="8">
        <v>1.43E-2</v>
      </c>
    </row>
    <row r="31" spans="2:3" x14ac:dyDescent="0.3">
      <c r="B31" s="1">
        <v>2025</v>
      </c>
      <c r="C31" s="8">
        <v>1.67E-2</v>
      </c>
    </row>
    <row r="33" spans="2:2" x14ac:dyDescent="0.3">
      <c r="B33" s="24" t="s">
        <v>132</v>
      </c>
    </row>
  </sheetData>
  <pageMargins left="0.7" right="0.7" top="0.75" bottom="0.75" header="0.3" footer="0.3"/>
  <ignoredErrors>
    <ignoredError sqref="G4 G6 G8" formulaRange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A9504-ECB0-4917-B4F8-6380129C57D8}">
  <dimension ref="B2:J101"/>
  <sheetViews>
    <sheetView showGridLines="0" tabSelected="1" zoomScale="104" workbookViewId="0">
      <selection activeCell="J26" sqref="J26"/>
    </sheetView>
  </sheetViews>
  <sheetFormatPr defaultRowHeight="14.4" x14ac:dyDescent="0.3"/>
  <cols>
    <col min="1" max="1" width="1.88671875" customWidth="1"/>
    <col min="2" max="2" width="33.44140625" bestFit="1" customWidth="1"/>
    <col min="3" max="3" width="14.44140625" bestFit="1" customWidth="1"/>
    <col min="4" max="4" width="11" bestFit="1" customWidth="1"/>
    <col min="5" max="5" width="18.44140625" bestFit="1" customWidth="1"/>
    <col min="6" max="6" width="9.5546875" bestFit="1" customWidth="1"/>
    <col min="7" max="7" width="18.5546875" bestFit="1" customWidth="1"/>
    <col min="9" max="9" width="18" bestFit="1" customWidth="1"/>
  </cols>
  <sheetData>
    <row r="2" spans="2:10" x14ac:dyDescent="0.3">
      <c r="B2" s="4" t="s">
        <v>12</v>
      </c>
      <c r="C2" s="5" t="s">
        <v>13</v>
      </c>
      <c r="D2" s="5" t="s">
        <v>111</v>
      </c>
      <c r="E2" s="5" t="s">
        <v>14</v>
      </c>
      <c r="F2" s="5" t="s">
        <v>112</v>
      </c>
      <c r="G2" s="5" t="s">
        <v>115</v>
      </c>
    </row>
    <row r="3" spans="2:10" x14ac:dyDescent="0.3">
      <c r="B3" t="s">
        <v>15</v>
      </c>
      <c r="C3" s="3">
        <v>26</v>
      </c>
      <c r="D3" s="9">
        <v>2.11</v>
      </c>
      <c r="E3" s="9">
        <v>4.45</v>
      </c>
      <c r="F3" s="9">
        <f>IF((D3&gt;E3),0,(E3-D3))</f>
        <v>2.3400000000000003</v>
      </c>
      <c r="G3" s="10">
        <f>IFERROR(F3/D3,0)</f>
        <v>1.109004739336493</v>
      </c>
    </row>
    <row r="4" spans="2:10" x14ac:dyDescent="0.3">
      <c r="B4" t="s">
        <v>16</v>
      </c>
      <c r="C4" s="3">
        <v>20</v>
      </c>
      <c r="D4" s="9">
        <v>585.91</v>
      </c>
      <c r="E4" s="9">
        <v>585.91</v>
      </c>
      <c r="F4" s="9">
        <f t="shared" ref="F4:F67" si="0">IF((D4&gt;E4),0,(E4-D4))</f>
        <v>0</v>
      </c>
      <c r="G4" s="10">
        <f>IFERROR(F4/D4,0)</f>
        <v>0</v>
      </c>
    </row>
    <row r="5" spans="2:10" x14ac:dyDescent="0.3">
      <c r="B5" t="s">
        <v>17</v>
      </c>
      <c r="C5" s="3">
        <v>4</v>
      </c>
      <c r="D5" s="9">
        <v>0.96</v>
      </c>
      <c r="E5" s="9">
        <v>0</v>
      </c>
      <c r="F5" s="9">
        <f t="shared" si="0"/>
        <v>0</v>
      </c>
      <c r="G5" s="10">
        <f t="shared" ref="G5:G67" si="1">IFERROR(F5/D5,0)</f>
        <v>0</v>
      </c>
    </row>
    <row r="6" spans="2:10" x14ac:dyDescent="0.3">
      <c r="B6" t="s">
        <v>18</v>
      </c>
      <c r="C6" s="3">
        <v>366</v>
      </c>
      <c r="D6" s="9">
        <v>411.77</v>
      </c>
      <c r="E6" s="9">
        <v>549.28</v>
      </c>
      <c r="F6" s="9">
        <f t="shared" si="0"/>
        <v>137.51</v>
      </c>
      <c r="G6" s="10">
        <f t="shared" si="1"/>
        <v>0.33394856351846902</v>
      </c>
    </row>
    <row r="7" spans="2:10" x14ac:dyDescent="0.3">
      <c r="B7" t="s">
        <v>19</v>
      </c>
      <c r="C7" s="3">
        <v>14</v>
      </c>
      <c r="D7" s="9">
        <v>3123.5</v>
      </c>
      <c r="E7" s="9">
        <v>3735.56</v>
      </c>
      <c r="F7" s="9">
        <f t="shared" si="0"/>
        <v>612.05999999999995</v>
      </c>
      <c r="G7" s="10">
        <f t="shared" si="1"/>
        <v>0.19595325756363052</v>
      </c>
      <c r="I7" s="11" t="s">
        <v>116</v>
      </c>
      <c r="J7" s="12">
        <f>AVERAGE(G3:G96)</f>
        <v>0.36153207489708555</v>
      </c>
    </row>
    <row r="8" spans="2:10" x14ac:dyDescent="0.3">
      <c r="B8" t="s">
        <v>20</v>
      </c>
      <c r="C8" s="3">
        <v>117</v>
      </c>
      <c r="D8" s="9">
        <v>585</v>
      </c>
      <c r="E8" s="9">
        <v>637.28</v>
      </c>
      <c r="F8" s="9">
        <f t="shared" si="0"/>
        <v>52.279999999999973</v>
      </c>
      <c r="G8" s="10">
        <f t="shared" si="1"/>
        <v>8.9367521367521324E-2</v>
      </c>
      <c r="I8" s="11" t="s">
        <v>117</v>
      </c>
      <c r="J8" s="12">
        <f>TRIMMEAN(G3:G96,0.5)</f>
        <v>1.4556564944641448E-2</v>
      </c>
    </row>
    <row r="9" spans="2:10" x14ac:dyDescent="0.3">
      <c r="B9" t="s">
        <v>21</v>
      </c>
      <c r="C9" s="3">
        <v>35</v>
      </c>
      <c r="D9" s="9">
        <v>6540.41</v>
      </c>
      <c r="E9" s="9">
        <v>6540.41</v>
      </c>
      <c r="F9" s="9">
        <f t="shared" si="0"/>
        <v>0</v>
      </c>
      <c r="G9" s="10">
        <f t="shared" si="1"/>
        <v>0</v>
      </c>
    </row>
    <row r="10" spans="2:10" x14ac:dyDescent="0.3">
      <c r="B10" t="s">
        <v>22</v>
      </c>
      <c r="C10" s="3">
        <v>6</v>
      </c>
      <c r="D10" s="9">
        <v>69.42</v>
      </c>
      <c r="E10" s="9">
        <v>69.42</v>
      </c>
      <c r="F10" s="9">
        <f t="shared" si="0"/>
        <v>0</v>
      </c>
      <c r="G10" s="10">
        <f t="shared" si="1"/>
        <v>0</v>
      </c>
    </row>
    <row r="11" spans="2:10" x14ac:dyDescent="0.3">
      <c r="B11" t="s">
        <v>23</v>
      </c>
      <c r="C11" s="3">
        <v>19</v>
      </c>
      <c r="D11" s="9">
        <v>129.83000000000001</v>
      </c>
      <c r="E11" s="9">
        <v>129.83000000000001</v>
      </c>
      <c r="F11" s="9">
        <f t="shared" si="0"/>
        <v>0</v>
      </c>
      <c r="G11" s="10">
        <f t="shared" si="1"/>
        <v>0</v>
      </c>
    </row>
    <row r="12" spans="2:10" x14ac:dyDescent="0.3">
      <c r="B12" t="s">
        <v>24</v>
      </c>
      <c r="C12" s="3">
        <v>5</v>
      </c>
      <c r="D12" s="9">
        <v>40.58</v>
      </c>
      <c r="E12" s="9">
        <v>0</v>
      </c>
      <c r="F12" s="9">
        <f>IF((D12&gt;E12),0,(E12-D12))</f>
        <v>0</v>
      </c>
      <c r="G12" s="10">
        <f t="shared" si="1"/>
        <v>0</v>
      </c>
    </row>
    <row r="13" spans="2:10" x14ac:dyDescent="0.3">
      <c r="B13" t="s">
        <v>25</v>
      </c>
      <c r="C13" s="3">
        <v>19</v>
      </c>
      <c r="D13" s="9">
        <v>91.33</v>
      </c>
      <c r="E13" s="9">
        <v>79.8</v>
      </c>
      <c r="F13" s="9">
        <f t="shared" si="0"/>
        <v>0</v>
      </c>
      <c r="G13" s="10">
        <f t="shared" si="1"/>
        <v>0</v>
      </c>
    </row>
    <row r="14" spans="2:10" x14ac:dyDescent="0.3">
      <c r="B14" t="s">
        <v>26</v>
      </c>
      <c r="C14" s="3">
        <v>176</v>
      </c>
      <c r="D14" s="9">
        <v>225.76</v>
      </c>
      <c r="E14" s="9">
        <v>229.32</v>
      </c>
      <c r="F14" s="9">
        <f t="shared" si="0"/>
        <v>3.5600000000000023</v>
      </c>
      <c r="G14" s="10">
        <f t="shared" si="1"/>
        <v>1.5768958185683923E-2</v>
      </c>
    </row>
    <row r="15" spans="2:10" x14ac:dyDescent="0.3">
      <c r="B15" t="s">
        <v>27</v>
      </c>
      <c r="C15" s="3">
        <v>57</v>
      </c>
      <c r="D15" s="9">
        <v>90.73</v>
      </c>
      <c r="E15" s="9">
        <v>128.63</v>
      </c>
      <c r="F15" s="9">
        <f t="shared" si="0"/>
        <v>37.899999999999991</v>
      </c>
      <c r="G15" s="10">
        <f t="shared" si="1"/>
        <v>0.41772291414085738</v>
      </c>
    </row>
    <row r="16" spans="2:10" x14ac:dyDescent="0.3">
      <c r="B16" t="s">
        <v>28</v>
      </c>
      <c r="C16" s="3">
        <v>72</v>
      </c>
      <c r="D16" s="9">
        <v>235.69</v>
      </c>
      <c r="E16" s="9">
        <v>246.02</v>
      </c>
      <c r="F16" s="9">
        <f t="shared" si="0"/>
        <v>10.330000000000013</v>
      </c>
      <c r="G16" s="10">
        <f t="shared" si="1"/>
        <v>4.3828758114472455E-2</v>
      </c>
    </row>
    <row r="17" spans="2:7" x14ac:dyDescent="0.3">
      <c r="B17" t="s">
        <v>29</v>
      </c>
      <c r="C17" s="3">
        <v>8</v>
      </c>
      <c r="D17" s="9">
        <v>5.77</v>
      </c>
      <c r="E17" s="9">
        <v>5.77</v>
      </c>
      <c r="F17" s="9">
        <f t="shared" si="0"/>
        <v>0</v>
      </c>
      <c r="G17" s="10">
        <f t="shared" si="1"/>
        <v>0</v>
      </c>
    </row>
    <row r="18" spans="2:7" x14ac:dyDescent="0.3">
      <c r="B18" t="s">
        <v>30</v>
      </c>
      <c r="C18" s="3">
        <v>145</v>
      </c>
      <c r="D18" s="9">
        <v>524.32000000000005</v>
      </c>
      <c r="E18" s="9">
        <v>436.97</v>
      </c>
      <c r="F18" s="9">
        <f t="shared" si="0"/>
        <v>0</v>
      </c>
      <c r="G18" s="10">
        <f t="shared" si="1"/>
        <v>0</v>
      </c>
    </row>
    <row r="19" spans="2:7" x14ac:dyDescent="0.3">
      <c r="B19" t="s">
        <v>31</v>
      </c>
      <c r="C19" s="3">
        <v>9</v>
      </c>
      <c r="D19" s="9">
        <v>147.04</v>
      </c>
      <c r="E19" s="9">
        <v>154.41999999999999</v>
      </c>
      <c r="F19" s="9">
        <f t="shared" si="0"/>
        <v>7.3799999999999955</v>
      </c>
      <c r="G19" s="10">
        <f t="shared" si="1"/>
        <v>5.0190424374319885E-2</v>
      </c>
    </row>
    <row r="20" spans="2:7" x14ac:dyDescent="0.3">
      <c r="B20" t="s">
        <v>32</v>
      </c>
      <c r="C20" s="3">
        <v>184</v>
      </c>
      <c r="D20" s="9">
        <v>951.08</v>
      </c>
      <c r="E20" s="9">
        <v>1168.79</v>
      </c>
      <c r="F20" s="9">
        <f t="shared" si="0"/>
        <v>217.70999999999992</v>
      </c>
      <c r="G20" s="10">
        <f t="shared" si="1"/>
        <v>0.22890818858560785</v>
      </c>
    </row>
    <row r="21" spans="2:7" x14ac:dyDescent="0.3">
      <c r="B21" t="s">
        <v>33</v>
      </c>
      <c r="C21" s="3">
        <v>5</v>
      </c>
      <c r="D21" s="9">
        <v>1911.8</v>
      </c>
      <c r="E21" s="9">
        <v>1911.8</v>
      </c>
      <c r="F21" s="9">
        <f t="shared" si="0"/>
        <v>0</v>
      </c>
      <c r="G21" s="10">
        <f t="shared" si="1"/>
        <v>0</v>
      </c>
    </row>
    <row r="22" spans="2:7" x14ac:dyDescent="0.3">
      <c r="B22" t="s">
        <v>34</v>
      </c>
      <c r="C22" s="3">
        <v>173</v>
      </c>
      <c r="D22" s="9">
        <v>8458.2999999999993</v>
      </c>
      <c r="E22" s="9">
        <v>11112.2</v>
      </c>
      <c r="F22" s="9">
        <f t="shared" si="0"/>
        <v>2653.9000000000015</v>
      </c>
      <c r="G22" s="10">
        <f t="shared" si="1"/>
        <v>0.31376281285837598</v>
      </c>
    </row>
    <row r="23" spans="2:7" x14ac:dyDescent="0.3">
      <c r="B23" t="s">
        <v>35</v>
      </c>
      <c r="C23" s="3">
        <v>9</v>
      </c>
      <c r="D23" s="9">
        <v>1.57</v>
      </c>
      <c r="E23" s="9">
        <v>1.57</v>
      </c>
      <c r="F23" s="9">
        <f t="shared" si="0"/>
        <v>0</v>
      </c>
      <c r="G23" s="10">
        <f t="shared" si="1"/>
        <v>0</v>
      </c>
    </row>
    <row r="24" spans="2:7" x14ac:dyDescent="0.3">
      <c r="B24" t="s">
        <v>36</v>
      </c>
      <c r="C24" s="3">
        <v>102</v>
      </c>
      <c r="D24" s="9">
        <v>928.8</v>
      </c>
      <c r="E24" s="9">
        <v>951.11</v>
      </c>
      <c r="F24" s="9">
        <f t="shared" si="0"/>
        <v>22.310000000000059</v>
      </c>
      <c r="G24" s="10">
        <f t="shared" si="1"/>
        <v>2.4020241171404028E-2</v>
      </c>
    </row>
    <row r="25" spans="2:7" x14ac:dyDescent="0.3">
      <c r="B25" t="s">
        <v>37</v>
      </c>
      <c r="C25" s="3">
        <v>15</v>
      </c>
      <c r="D25" s="9">
        <v>334.6</v>
      </c>
      <c r="E25" s="9">
        <v>340.57</v>
      </c>
      <c r="F25" s="9">
        <f t="shared" si="0"/>
        <v>5.9699999999999704</v>
      </c>
      <c r="G25" s="10">
        <f t="shared" si="1"/>
        <v>1.7842199641362733E-2</v>
      </c>
    </row>
    <row r="26" spans="2:7" x14ac:dyDescent="0.3">
      <c r="B26" t="s">
        <v>38</v>
      </c>
      <c r="C26" s="3">
        <v>9</v>
      </c>
      <c r="D26" s="9">
        <v>10.5</v>
      </c>
      <c r="E26" s="9">
        <v>10.5</v>
      </c>
      <c r="F26" s="9">
        <f t="shared" si="0"/>
        <v>0</v>
      </c>
      <c r="G26" s="10">
        <f t="shared" si="1"/>
        <v>0</v>
      </c>
    </row>
    <row r="27" spans="2:7" x14ac:dyDescent="0.3">
      <c r="B27" t="s">
        <v>39</v>
      </c>
      <c r="C27" s="3">
        <v>176</v>
      </c>
      <c r="D27" s="9">
        <v>1343.33</v>
      </c>
      <c r="E27" s="9">
        <v>1549.13</v>
      </c>
      <c r="F27" s="9">
        <f t="shared" si="0"/>
        <v>205.80000000000018</v>
      </c>
      <c r="G27" s="10">
        <f t="shared" si="1"/>
        <v>0.15320137270812101</v>
      </c>
    </row>
    <row r="28" spans="2:7" x14ac:dyDescent="0.3">
      <c r="B28" t="s">
        <v>40</v>
      </c>
      <c r="C28" s="3">
        <v>34</v>
      </c>
      <c r="D28" s="9">
        <v>16.010000000000002</v>
      </c>
      <c r="E28" s="9">
        <v>16.690000000000001</v>
      </c>
      <c r="F28" s="9">
        <f t="shared" si="0"/>
        <v>0.67999999999999972</v>
      </c>
      <c r="G28" s="10">
        <f t="shared" si="1"/>
        <v>4.2473454091192984E-2</v>
      </c>
    </row>
    <row r="29" spans="2:7" x14ac:dyDescent="0.3">
      <c r="B29" t="s">
        <v>41</v>
      </c>
      <c r="C29" s="3">
        <v>122</v>
      </c>
      <c r="D29" s="9">
        <v>386.42</v>
      </c>
      <c r="E29" s="9">
        <v>300.08</v>
      </c>
      <c r="F29" s="9">
        <f t="shared" si="0"/>
        <v>0</v>
      </c>
      <c r="G29" s="10">
        <f t="shared" si="1"/>
        <v>0</v>
      </c>
    </row>
    <row r="30" spans="2:7" x14ac:dyDescent="0.3">
      <c r="B30" t="s">
        <v>42</v>
      </c>
      <c r="C30" s="3">
        <v>8</v>
      </c>
      <c r="D30" s="9">
        <v>3.32</v>
      </c>
      <c r="E30" s="9">
        <v>3.32</v>
      </c>
      <c r="F30" s="9">
        <f t="shared" si="0"/>
        <v>0</v>
      </c>
      <c r="G30" s="10">
        <f t="shared" si="1"/>
        <v>0</v>
      </c>
    </row>
    <row r="31" spans="2:7" x14ac:dyDescent="0.3">
      <c r="B31" t="s">
        <v>43</v>
      </c>
      <c r="C31" s="3">
        <v>37</v>
      </c>
      <c r="D31" s="9">
        <v>21.73</v>
      </c>
      <c r="E31" s="9">
        <v>21.63</v>
      </c>
      <c r="F31" s="9">
        <f t="shared" si="0"/>
        <v>0</v>
      </c>
      <c r="G31" s="10">
        <f t="shared" si="1"/>
        <v>0</v>
      </c>
    </row>
    <row r="32" spans="2:7" x14ac:dyDescent="0.3">
      <c r="B32" t="s">
        <v>44</v>
      </c>
      <c r="C32" s="3">
        <v>189</v>
      </c>
      <c r="D32" s="9">
        <v>587.91</v>
      </c>
      <c r="E32" s="9">
        <v>866.26</v>
      </c>
      <c r="F32" s="9">
        <f t="shared" si="0"/>
        <v>278.35000000000002</v>
      </c>
      <c r="G32" s="10">
        <f t="shared" si="1"/>
        <v>0.47345682162235725</v>
      </c>
    </row>
    <row r="33" spans="2:7" x14ac:dyDescent="0.3">
      <c r="B33" t="s">
        <v>45</v>
      </c>
      <c r="C33" s="3">
        <v>67</v>
      </c>
      <c r="D33" s="9">
        <v>12.72</v>
      </c>
      <c r="E33" s="9">
        <v>18.97</v>
      </c>
      <c r="F33" s="9">
        <f t="shared" si="0"/>
        <v>6.2499999999999982</v>
      </c>
      <c r="G33" s="10">
        <f t="shared" si="1"/>
        <v>0.4913522012578615</v>
      </c>
    </row>
    <row r="34" spans="2:7" x14ac:dyDescent="0.3">
      <c r="B34" t="s">
        <v>46</v>
      </c>
      <c r="C34" s="3">
        <v>18</v>
      </c>
      <c r="D34" s="9">
        <v>3.03</v>
      </c>
      <c r="E34" s="9">
        <v>4.08</v>
      </c>
      <c r="F34" s="9">
        <f t="shared" si="0"/>
        <v>1.0500000000000003</v>
      </c>
      <c r="G34" s="10">
        <f t="shared" si="1"/>
        <v>0.34653465346534662</v>
      </c>
    </row>
    <row r="35" spans="2:7" x14ac:dyDescent="0.3">
      <c r="B35" t="s">
        <v>47</v>
      </c>
      <c r="C35" s="3">
        <v>66</v>
      </c>
      <c r="D35" s="9">
        <v>81.069999999999993</v>
      </c>
      <c r="E35" s="9">
        <v>130.12</v>
      </c>
      <c r="F35" s="9">
        <f t="shared" si="0"/>
        <v>49.050000000000011</v>
      </c>
      <c r="G35" s="10">
        <f t="shared" si="1"/>
        <v>0.60503268780066632</v>
      </c>
    </row>
    <row r="36" spans="2:7" x14ac:dyDescent="0.3">
      <c r="B36" t="s">
        <v>48</v>
      </c>
      <c r="C36" s="3">
        <v>286</v>
      </c>
      <c r="D36" s="9">
        <v>3092.2</v>
      </c>
      <c r="E36" s="9">
        <v>2933.79</v>
      </c>
      <c r="F36" s="9">
        <f t="shared" si="0"/>
        <v>0</v>
      </c>
      <c r="G36" s="10">
        <f t="shared" si="1"/>
        <v>0</v>
      </c>
    </row>
    <row r="37" spans="2:7" x14ac:dyDescent="0.3">
      <c r="B37" t="s">
        <v>49</v>
      </c>
      <c r="C37" s="3">
        <v>210</v>
      </c>
      <c r="D37" s="9">
        <v>1020.58</v>
      </c>
      <c r="E37" s="9">
        <v>1033.1400000000001</v>
      </c>
      <c r="F37" s="9">
        <f t="shared" si="0"/>
        <v>12.560000000000059</v>
      </c>
      <c r="G37" s="10">
        <f t="shared" si="1"/>
        <v>1.2306727547081129E-2</v>
      </c>
    </row>
    <row r="38" spans="2:7" x14ac:dyDescent="0.3">
      <c r="B38" t="s">
        <v>50</v>
      </c>
      <c r="C38" s="3">
        <v>40</v>
      </c>
      <c r="D38" s="9">
        <v>0.42</v>
      </c>
      <c r="E38" s="9">
        <v>6.34</v>
      </c>
      <c r="F38" s="9">
        <f t="shared" si="0"/>
        <v>5.92</v>
      </c>
      <c r="G38" s="10">
        <f t="shared" si="1"/>
        <v>14.095238095238095</v>
      </c>
    </row>
    <row r="39" spans="2:7" x14ac:dyDescent="0.3">
      <c r="B39" t="s">
        <v>51</v>
      </c>
      <c r="C39" s="3">
        <v>47</v>
      </c>
      <c r="D39" s="9">
        <v>68.41</v>
      </c>
      <c r="E39" s="9">
        <v>113.49</v>
      </c>
      <c r="F39" s="9">
        <f t="shared" si="0"/>
        <v>45.08</v>
      </c>
      <c r="G39" s="10">
        <f t="shared" si="1"/>
        <v>0.6589679871363836</v>
      </c>
    </row>
    <row r="40" spans="2:7" x14ac:dyDescent="0.3">
      <c r="B40" t="s">
        <v>52</v>
      </c>
      <c r="C40" s="3">
        <v>19</v>
      </c>
      <c r="D40" s="9">
        <v>234.56</v>
      </c>
      <c r="E40" s="9">
        <v>234.56</v>
      </c>
      <c r="F40" s="9">
        <f t="shared" si="0"/>
        <v>0</v>
      </c>
      <c r="G40" s="10">
        <f t="shared" si="1"/>
        <v>0</v>
      </c>
    </row>
    <row r="41" spans="2:7" x14ac:dyDescent="0.3">
      <c r="B41" t="s">
        <v>53</v>
      </c>
      <c r="C41" s="3">
        <v>15</v>
      </c>
      <c r="D41" s="9">
        <v>3.68</v>
      </c>
      <c r="E41" s="9">
        <v>3.68</v>
      </c>
      <c r="F41" s="9">
        <f t="shared" si="0"/>
        <v>0</v>
      </c>
      <c r="G41" s="10">
        <f t="shared" si="1"/>
        <v>0</v>
      </c>
    </row>
    <row r="42" spans="2:7" x14ac:dyDescent="0.3">
      <c r="B42" t="s">
        <v>54</v>
      </c>
      <c r="C42" s="3">
        <v>41</v>
      </c>
      <c r="D42" s="9">
        <v>45.61</v>
      </c>
      <c r="E42" s="9">
        <v>42.19</v>
      </c>
      <c r="F42" s="9">
        <f t="shared" si="0"/>
        <v>0</v>
      </c>
      <c r="G42" s="10">
        <f t="shared" si="1"/>
        <v>0</v>
      </c>
    </row>
    <row r="43" spans="2:7" x14ac:dyDescent="0.3">
      <c r="B43" t="s">
        <v>55</v>
      </c>
      <c r="C43" s="3">
        <v>21</v>
      </c>
      <c r="D43" s="9">
        <v>121.01</v>
      </c>
      <c r="E43" s="9">
        <v>98.03</v>
      </c>
      <c r="F43" s="9">
        <f t="shared" si="0"/>
        <v>0</v>
      </c>
      <c r="G43" s="10">
        <f t="shared" si="1"/>
        <v>0</v>
      </c>
    </row>
    <row r="44" spans="2:7" x14ac:dyDescent="0.3">
      <c r="B44" t="s">
        <v>56</v>
      </c>
      <c r="C44" s="3">
        <v>0</v>
      </c>
      <c r="D44" s="9">
        <v>0</v>
      </c>
      <c r="E44" s="9">
        <v>0</v>
      </c>
      <c r="F44" s="9">
        <f t="shared" si="0"/>
        <v>0</v>
      </c>
      <c r="G44" s="10">
        <f t="shared" si="1"/>
        <v>0</v>
      </c>
    </row>
    <row r="45" spans="2:7" x14ac:dyDescent="0.3">
      <c r="B45" t="s">
        <v>57</v>
      </c>
      <c r="C45" s="3">
        <v>36</v>
      </c>
      <c r="D45" s="9">
        <v>74.17</v>
      </c>
      <c r="E45" s="9">
        <v>74.63</v>
      </c>
      <c r="F45" s="9">
        <f t="shared" si="0"/>
        <v>0.45999999999999375</v>
      </c>
      <c r="G45" s="10">
        <f t="shared" si="1"/>
        <v>6.2019684508560569E-3</v>
      </c>
    </row>
    <row r="46" spans="2:7" x14ac:dyDescent="0.3">
      <c r="B46" t="s">
        <v>58</v>
      </c>
      <c r="C46" s="3">
        <v>72</v>
      </c>
      <c r="D46" s="9">
        <v>59.09</v>
      </c>
      <c r="E46" s="9">
        <v>64.8</v>
      </c>
      <c r="F46" s="9">
        <f t="shared" si="0"/>
        <v>5.7099999999999937</v>
      </c>
      <c r="G46" s="10">
        <f t="shared" si="1"/>
        <v>9.6632255880859594E-2</v>
      </c>
    </row>
    <row r="47" spans="2:7" x14ac:dyDescent="0.3">
      <c r="B47" t="s">
        <v>59</v>
      </c>
      <c r="C47" s="3">
        <v>37</v>
      </c>
      <c r="D47" s="9">
        <v>1797.84</v>
      </c>
      <c r="E47" s="9">
        <v>1822.32</v>
      </c>
      <c r="F47" s="9">
        <f t="shared" si="0"/>
        <v>24.480000000000018</v>
      </c>
      <c r="G47" s="10">
        <f t="shared" si="1"/>
        <v>1.3616339607529046E-2</v>
      </c>
    </row>
    <row r="48" spans="2:7" x14ac:dyDescent="0.3">
      <c r="B48" t="s">
        <v>60</v>
      </c>
      <c r="C48" s="3">
        <v>25</v>
      </c>
      <c r="D48" s="9">
        <v>79.790000000000006</v>
      </c>
      <c r="E48" s="9">
        <v>428.59</v>
      </c>
      <c r="F48" s="9">
        <f t="shared" si="0"/>
        <v>348.79999999999995</v>
      </c>
      <c r="G48" s="10">
        <f t="shared" si="1"/>
        <v>4.3714751221957631</v>
      </c>
    </row>
    <row r="49" spans="2:7" x14ac:dyDescent="0.3">
      <c r="B49" t="s">
        <v>61</v>
      </c>
      <c r="C49" s="3">
        <v>1</v>
      </c>
      <c r="D49" s="9">
        <v>0</v>
      </c>
      <c r="E49" s="9">
        <v>0</v>
      </c>
      <c r="F49" s="9">
        <f t="shared" si="0"/>
        <v>0</v>
      </c>
      <c r="G49" s="10">
        <f t="shared" si="1"/>
        <v>0</v>
      </c>
    </row>
    <row r="50" spans="2:7" x14ac:dyDescent="0.3">
      <c r="B50" t="s">
        <v>62</v>
      </c>
      <c r="C50" s="3">
        <v>8</v>
      </c>
      <c r="D50" s="9">
        <v>849.26</v>
      </c>
      <c r="E50" s="9">
        <v>802.45</v>
      </c>
      <c r="F50" s="9">
        <f t="shared" si="0"/>
        <v>0</v>
      </c>
      <c r="G50" s="10">
        <f t="shared" si="1"/>
        <v>0</v>
      </c>
    </row>
    <row r="51" spans="2:7" x14ac:dyDescent="0.3">
      <c r="B51" t="s">
        <v>63</v>
      </c>
      <c r="C51" s="3">
        <v>3</v>
      </c>
      <c r="D51" s="9">
        <v>108.53</v>
      </c>
      <c r="E51" s="9">
        <v>40.700000000000003</v>
      </c>
      <c r="F51" s="9">
        <f t="shared" si="0"/>
        <v>0</v>
      </c>
      <c r="G51" s="10">
        <f t="shared" si="1"/>
        <v>0</v>
      </c>
    </row>
    <row r="52" spans="2:7" x14ac:dyDescent="0.3">
      <c r="B52" t="s">
        <v>64</v>
      </c>
      <c r="C52" s="3">
        <v>111</v>
      </c>
      <c r="D52" s="9">
        <v>618.95000000000005</v>
      </c>
      <c r="E52" s="9">
        <v>626.44000000000005</v>
      </c>
      <c r="F52" s="9">
        <f t="shared" si="0"/>
        <v>7.4900000000000091</v>
      </c>
      <c r="G52" s="10">
        <f t="shared" si="1"/>
        <v>1.2101139025769462E-2</v>
      </c>
    </row>
    <row r="53" spans="2:7" x14ac:dyDescent="0.3">
      <c r="B53" t="s">
        <v>65</v>
      </c>
      <c r="C53" s="3">
        <v>178</v>
      </c>
      <c r="D53" s="9">
        <v>308.77999999999997</v>
      </c>
      <c r="E53" s="9">
        <v>400.59</v>
      </c>
      <c r="F53" s="9">
        <f t="shared" si="0"/>
        <v>91.81</v>
      </c>
      <c r="G53" s="10">
        <f t="shared" si="1"/>
        <v>0.29733143338299117</v>
      </c>
    </row>
    <row r="54" spans="2:7" x14ac:dyDescent="0.3">
      <c r="B54" t="s">
        <v>66</v>
      </c>
      <c r="C54" s="3">
        <v>46</v>
      </c>
      <c r="D54" s="9">
        <v>4060.09</v>
      </c>
      <c r="E54" s="9">
        <v>4108</v>
      </c>
      <c r="F54" s="9">
        <f t="shared" si="0"/>
        <v>47.909999999999854</v>
      </c>
      <c r="G54" s="10">
        <f t="shared" si="1"/>
        <v>1.1800231029361383E-2</v>
      </c>
    </row>
    <row r="55" spans="2:7" x14ac:dyDescent="0.3">
      <c r="B55" t="s">
        <v>67</v>
      </c>
      <c r="C55" s="3">
        <v>19</v>
      </c>
      <c r="D55" s="9">
        <v>1.69</v>
      </c>
      <c r="E55" s="9">
        <v>1.7</v>
      </c>
      <c r="F55" s="9">
        <f t="shared" si="0"/>
        <v>1.0000000000000009E-2</v>
      </c>
      <c r="G55" s="10">
        <f t="shared" si="1"/>
        <v>5.9171597633136145E-3</v>
      </c>
    </row>
    <row r="56" spans="2:7" x14ac:dyDescent="0.3">
      <c r="B56" t="s">
        <v>68</v>
      </c>
      <c r="C56" s="3">
        <v>1</v>
      </c>
      <c r="D56" s="9">
        <v>1828.3</v>
      </c>
      <c r="E56" s="9">
        <v>1828.3</v>
      </c>
      <c r="F56" s="9">
        <f t="shared" si="0"/>
        <v>0</v>
      </c>
      <c r="G56" s="10">
        <f t="shared" si="1"/>
        <v>0</v>
      </c>
    </row>
    <row r="57" spans="2:7" x14ac:dyDescent="0.3">
      <c r="B57" t="s">
        <v>69</v>
      </c>
      <c r="C57" s="3">
        <v>6</v>
      </c>
      <c r="D57" s="9">
        <v>181.07</v>
      </c>
      <c r="E57" s="9">
        <v>181.07</v>
      </c>
      <c r="F57" s="9">
        <f t="shared" si="0"/>
        <v>0</v>
      </c>
      <c r="G57" s="10">
        <f t="shared" si="1"/>
        <v>0</v>
      </c>
    </row>
    <row r="58" spans="2:7" x14ac:dyDescent="0.3">
      <c r="B58" t="s">
        <v>70</v>
      </c>
      <c r="C58" s="3">
        <v>10</v>
      </c>
      <c r="D58" s="9">
        <v>247.24</v>
      </c>
      <c r="E58" s="9">
        <v>247.24</v>
      </c>
      <c r="F58" s="9">
        <f t="shared" si="0"/>
        <v>0</v>
      </c>
      <c r="G58" s="10">
        <f t="shared" si="1"/>
        <v>0</v>
      </c>
    </row>
    <row r="59" spans="2:7" x14ac:dyDescent="0.3">
      <c r="B59" t="s">
        <v>71</v>
      </c>
      <c r="C59" s="3">
        <v>27</v>
      </c>
      <c r="D59" s="9">
        <v>4532.82</v>
      </c>
      <c r="E59" s="9">
        <v>4532.82</v>
      </c>
      <c r="F59" s="9">
        <f t="shared" si="0"/>
        <v>0</v>
      </c>
      <c r="G59" s="10">
        <f t="shared" si="1"/>
        <v>0</v>
      </c>
    </row>
    <row r="60" spans="2:7" x14ac:dyDescent="0.3">
      <c r="B60" t="s">
        <v>72</v>
      </c>
      <c r="C60" s="3">
        <v>93</v>
      </c>
      <c r="D60" s="9">
        <v>41.7</v>
      </c>
      <c r="E60" s="9">
        <v>56.8</v>
      </c>
      <c r="F60" s="9">
        <f t="shared" si="0"/>
        <v>15.099999999999994</v>
      </c>
      <c r="G60" s="10">
        <f t="shared" si="1"/>
        <v>0.36211031175059938</v>
      </c>
    </row>
    <row r="61" spans="2:7" x14ac:dyDescent="0.3">
      <c r="B61" t="s">
        <v>73</v>
      </c>
      <c r="C61" s="3">
        <v>53</v>
      </c>
      <c r="D61" s="9">
        <v>57.46</v>
      </c>
      <c r="E61" s="9">
        <v>57.65</v>
      </c>
      <c r="F61" s="9">
        <f t="shared" si="0"/>
        <v>0.18999999999999773</v>
      </c>
      <c r="G61" s="10">
        <f t="shared" si="1"/>
        <v>3.3066481030281539E-3</v>
      </c>
    </row>
    <row r="62" spans="2:7" x14ac:dyDescent="0.3">
      <c r="B62" t="s">
        <v>74</v>
      </c>
      <c r="C62" s="3">
        <v>34</v>
      </c>
      <c r="D62" s="9">
        <v>3508.7</v>
      </c>
      <c r="E62" s="9">
        <v>3905.56</v>
      </c>
      <c r="F62" s="9">
        <f t="shared" si="0"/>
        <v>396.86000000000013</v>
      </c>
      <c r="G62" s="10">
        <f t="shared" si="1"/>
        <v>0.11310741870208343</v>
      </c>
    </row>
    <row r="63" spans="2:7" x14ac:dyDescent="0.3">
      <c r="B63" t="s">
        <v>75</v>
      </c>
      <c r="C63" s="3">
        <v>1</v>
      </c>
      <c r="D63" s="9">
        <v>0</v>
      </c>
      <c r="E63" s="9">
        <v>0</v>
      </c>
      <c r="F63" s="9">
        <f t="shared" si="0"/>
        <v>0</v>
      </c>
      <c r="G63" s="10">
        <f t="shared" si="1"/>
        <v>0</v>
      </c>
    </row>
    <row r="64" spans="2:7" x14ac:dyDescent="0.3">
      <c r="B64" t="s">
        <v>76</v>
      </c>
      <c r="C64" s="3">
        <v>25</v>
      </c>
      <c r="D64" s="9">
        <v>60.16</v>
      </c>
      <c r="E64" s="9">
        <v>85.21</v>
      </c>
      <c r="F64" s="9">
        <f t="shared" si="0"/>
        <v>25.049999999999997</v>
      </c>
      <c r="G64" s="10">
        <f t="shared" si="1"/>
        <v>0.41638962765957444</v>
      </c>
    </row>
    <row r="65" spans="2:7" x14ac:dyDescent="0.3">
      <c r="B65" t="s">
        <v>77</v>
      </c>
      <c r="C65" s="3">
        <v>4</v>
      </c>
      <c r="D65" s="9">
        <v>616.4</v>
      </c>
      <c r="E65" s="9">
        <v>616.4</v>
      </c>
      <c r="F65" s="9">
        <f t="shared" si="0"/>
        <v>0</v>
      </c>
      <c r="G65" s="10">
        <f t="shared" si="1"/>
        <v>0</v>
      </c>
    </row>
    <row r="66" spans="2:7" x14ac:dyDescent="0.3">
      <c r="B66" t="s">
        <v>78</v>
      </c>
      <c r="C66" s="3">
        <v>151</v>
      </c>
      <c r="D66" s="9">
        <v>149.80000000000001</v>
      </c>
      <c r="E66" s="9">
        <v>160.29</v>
      </c>
      <c r="F66" s="9">
        <f t="shared" si="0"/>
        <v>10.489999999999981</v>
      </c>
      <c r="G66" s="10">
        <f t="shared" si="1"/>
        <v>7.0026702269692792E-2</v>
      </c>
    </row>
    <row r="67" spans="2:7" x14ac:dyDescent="0.3">
      <c r="B67" t="s">
        <v>79</v>
      </c>
      <c r="C67" s="3">
        <v>17</v>
      </c>
      <c r="D67" s="9">
        <v>173.92</v>
      </c>
      <c r="E67" s="9">
        <v>173.92</v>
      </c>
      <c r="F67" s="9">
        <f t="shared" si="0"/>
        <v>0</v>
      </c>
      <c r="G67" s="10">
        <f t="shared" si="1"/>
        <v>0</v>
      </c>
    </row>
    <row r="68" spans="2:7" x14ac:dyDescent="0.3">
      <c r="B68" t="s">
        <v>80</v>
      </c>
      <c r="C68" s="3">
        <v>30</v>
      </c>
      <c r="D68" s="9">
        <v>36.130000000000003</v>
      </c>
      <c r="E68" s="9">
        <v>36.869999999999997</v>
      </c>
      <c r="F68" s="9">
        <f t="shared" ref="F68:F98" si="2">IF((D68&gt;E68),0,(E68-D68))</f>
        <v>0.73999999999999488</v>
      </c>
      <c r="G68" s="10">
        <f t="shared" ref="G68:G97" si="3">IFERROR(F68/D68,0)</f>
        <v>2.0481594243011204E-2</v>
      </c>
    </row>
    <row r="69" spans="2:7" x14ac:dyDescent="0.3">
      <c r="B69" t="s">
        <v>81</v>
      </c>
      <c r="C69" s="3">
        <v>12</v>
      </c>
      <c r="D69" s="9">
        <v>2.44</v>
      </c>
      <c r="E69" s="9">
        <v>2.44</v>
      </c>
      <c r="F69" s="9">
        <f t="shared" si="2"/>
        <v>0</v>
      </c>
      <c r="G69" s="10">
        <f t="shared" si="3"/>
        <v>0</v>
      </c>
    </row>
    <row r="70" spans="2:7" x14ac:dyDescent="0.3">
      <c r="B70" t="s">
        <v>82</v>
      </c>
      <c r="C70" s="3">
        <v>1</v>
      </c>
      <c r="D70" s="9">
        <v>150.80000000000001</v>
      </c>
      <c r="E70" s="9">
        <v>150.80000000000001</v>
      </c>
      <c r="F70" s="9">
        <f t="shared" si="2"/>
        <v>0</v>
      </c>
      <c r="G70" s="10">
        <f t="shared" si="3"/>
        <v>0</v>
      </c>
    </row>
    <row r="71" spans="2:7" x14ac:dyDescent="0.3">
      <c r="B71" t="s">
        <v>83</v>
      </c>
      <c r="C71" s="3">
        <v>17</v>
      </c>
      <c r="D71" s="9">
        <v>11.61</v>
      </c>
      <c r="E71" s="9">
        <v>17.600000000000001</v>
      </c>
      <c r="F71" s="9">
        <f t="shared" si="2"/>
        <v>5.990000000000002</v>
      </c>
      <c r="G71" s="10">
        <f t="shared" si="3"/>
        <v>0.51593453919035337</v>
      </c>
    </row>
    <row r="72" spans="2:7" x14ac:dyDescent="0.3">
      <c r="B72" t="s">
        <v>84</v>
      </c>
      <c r="C72" s="3">
        <v>8</v>
      </c>
      <c r="D72" s="9">
        <v>1.25</v>
      </c>
      <c r="E72" s="9">
        <v>0.82</v>
      </c>
      <c r="F72" s="9">
        <f t="shared" si="2"/>
        <v>0</v>
      </c>
      <c r="G72" s="10">
        <f t="shared" si="3"/>
        <v>0</v>
      </c>
    </row>
    <row r="73" spans="2:7" x14ac:dyDescent="0.3">
      <c r="B73" t="s">
        <v>85</v>
      </c>
      <c r="C73" s="3">
        <v>4</v>
      </c>
      <c r="D73" s="9">
        <v>0.87</v>
      </c>
      <c r="E73" s="9">
        <v>0.87</v>
      </c>
      <c r="F73" s="9">
        <f t="shared" si="2"/>
        <v>0</v>
      </c>
      <c r="G73" s="10">
        <f t="shared" si="3"/>
        <v>0</v>
      </c>
    </row>
    <row r="74" spans="2:7" x14ac:dyDescent="0.3">
      <c r="B74" t="s">
        <v>86</v>
      </c>
      <c r="C74" s="3">
        <v>252</v>
      </c>
      <c r="D74" s="9">
        <v>71.44</v>
      </c>
      <c r="E74" s="9">
        <v>72.040000000000006</v>
      </c>
      <c r="F74" s="9">
        <f t="shared" si="2"/>
        <v>0.60000000000000853</v>
      </c>
      <c r="G74" s="10">
        <f t="shared" si="3"/>
        <v>8.398656215005719E-3</v>
      </c>
    </row>
    <row r="75" spans="2:7" x14ac:dyDescent="0.3">
      <c r="B75" t="s">
        <v>87</v>
      </c>
      <c r="C75" s="3">
        <v>10</v>
      </c>
      <c r="D75" s="9">
        <v>0.65</v>
      </c>
      <c r="E75" s="9">
        <v>0.65</v>
      </c>
      <c r="F75" s="9">
        <f t="shared" si="2"/>
        <v>0</v>
      </c>
      <c r="G75" s="10">
        <f t="shared" si="3"/>
        <v>0</v>
      </c>
    </row>
    <row r="76" spans="2:7" x14ac:dyDescent="0.3">
      <c r="B76" t="s">
        <v>88</v>
      </c>
      <c r="C76" s="3">
        <v>10</v>
      </c>
      <c r="D76" s="9">
        <v>7.0000000000000007E-2</v>
      </c>
      <c r="E76" s="9">
        <v>0.09</v>
      </c>
      <c r="F76" s="9">
        <f t="shared" si="2"/>
        <v>1.999999999999999E-2</v>
      </c>
      <c r="G76" s="10">
        <f t="shared" si="3"/>
        <v>0.28571428571428553</v>
      </c>
    </row>
    <row r="77" spans="2:7" x14ac:dyDescent="0.3">
      <c r="B77" t="s">
        <v>89</v>
      </c>
      <c r="C77" s="3">
        <v>1</v>
      </c>
      <c r="D77" s="9">
        <v>166.8</v>
      </c>
      <c r="E77" s="9">
        <v>166.8</v>
      </c>
      <c r="F77" s="9">
        <f t="shared" si="2"/>
        <v>0</v>
      </c>
      <c r="G77" s="10">
        <f t="shared" si="3"/>
        <v>0</v>
      </c>
    </row>
    <row r="78" spans="2:7" x14ac:dyDescent="0.3">
      <c r="B78" t="s">
        <v>90</v>
      </c>
      <c r="C78" s="3">
        <v>51</v>
      </c>
      <c r="D78" s="9">
        <v>33.51</v>
      </c>
      <c r="E78" s="9">
        <v>33.799999999999997</v>
      </c>
      <c r="F78" s="9">
        <f t="shared" si="2"/>
        <v>0.28999999999999915</v>
      </c>
      <c r="G78" s="10">
        <f t="shared" si="3"/>
        <v>8.6541330945986029E-3</v>
      </c>
    </row>
    <row r="79" spans="2:7" x14ac:dyDescent="0.3">
      <c r="B79" t="s">
        <v>91</v>
      </c>
      <c r="C79" s="3">
        <v>18</v>
      </c>
      <c r="D79" s="9">
        <v>130.74</v>
      </c>
      <c r="E79" s="9">
        <v>130.74</v>
      </c>
      <c r="F79" s="9">
        <f t="shared" si="2"/>
        <v>0</v>
      </c>
      <c r="G79" s="10">
        <f t="shared" si="3"/>
        <v>0</v>
      </c>
    </row>
    <row r="80" spans="2:7" x14ac:dyDescent="0.3">
      <c r="B80" t="s">
        <v>92</v>
      </c>
      <c r="C80" s="3">
        <v>13</v>
      </c>
      <c r="D80" s="9">
        <v>0.32</v>
      </c>
      <c r="E80" s="9">
        <v>1.02</v>
      </c>
      <c r="F80" s="9">
        <f t="shared" si="2"/>
        <v>0.7</v>
      </c>
      <c r="G80" s="10">
        <f t="shared" si="3"/>
        <v>2.1875</v>
      </c>
    </row>
    <row r="81" spans="2:7" x14ac:dyDescent="0.3">
      <c r="B81" t="s">
        <v>93</v>
      </c>
      <c r="C81" s="3">
        <v>1</v>
      </c>
      <c r="D81" s="9">
        <v>0</v>
      </c>
      <c r="E81" s="9">
        <v>0</v>
      </c>
      <c r="F81" s="9">
        <f t="shared" si="2"/>
        <v>0</v>
      </c>
      <c r="G81" s="10">
        <f t="shared" si="3"/>
        <v>0</v>
      </c>
    </row>
    <row r="82" spans="2:7" x14ac:dyDescent="0.3">
      <c r="B82" t="s">
        <v>94</v>
      </c>
      <c r="C82" s="3">
        <v>23</v>
      </c>
      <c r="D82" s="9">
        <v>59.85</v>
      </c>
      <c r="E82" s="9">
        <v>57.06</v>
      </c>
      <c r="F82" s="9">
        <f t="shared" si="2"/>
        <v>0</v>
      </c>
      <c r="G82" s="10">
        <f t="shared" si="3"/>
        <v>0</v>
      </c>
    </row>
    <row r="83" spans="2:7" x14ac:dyDescent="0.3">
      <c r="B83" t="s">
        <v>95</v>
      </c>
      <c r="C83" s="3">
        <v>11</v>
      </c>
      <c r="D83" s="9">
        <v>42.69</v>
      </c>
      <c r="E83" s="9">
        <v>42.69</v>
      </c>
      <c r="F83" s="9">
        <f t="shared" si="2"/>
        <v>0</v>
      </c>
      <c r="G83" s="10">
        <f t="shared" si="3"/>
        <v>0</v>
      </c>
    </row>
    <row r="84" spans="2:7" x14ac:dyDescent="0.3">
      <c r="B84" t="s">
        <v>96</v>
      </c>
      <c r="C84" s="3">
        <v>4</v>
      </c>
      <c r="D84" s="9">
        <v>35.229999999999997</v>
      </c>
      <c r="E84" s="9">
        <v>35.229999999999997</v>
      </c>
      <c r="F84" s="9">
        <f t="shared" si="2"/>
        <v>0</v>
      </c>
      <c r="G84" s="10">
        <f t="shared" si="3"/>
        <v>0</v>
      </c>
    </row>
    <row r="85" spans="2:7" x14ac:dyDescent="0.3">
      <c r="B85" t="s">
        <v>97</v>
      </c>
      <c r="C85" s="3">
        <v>7</v>
      </c>
      <c r="D85" s="9">
        <v>0.83</v>
      </c>
      <c r="E85" s="9">
        <v>0.83</v>
      </c>
      <c r="F85" s="9">
        <f t="shared" si="2"/>
        <v>0</v>
      </c>
      <c r="G85" s="10">
        <f t="shared" si="3"/>
        <v>0</v>
      </c>
    </row>
    <row r="86" spans="2:7" x14ac:dyDescent="0.3">
      <c r="B86" t="s">
        <v>98</v>
      </c>
      <c r="C86" s="3">
        <v>73</v>
      </c>
      <c r="D86" s="9">
        <v>398.65</v>
      </c>
      <c r="E86" s="9">
        <v>411.56</v>
      </c>
      <c r="F86" s="9">
        <f t="shared" si="2"/>
        <v>12.910000000000025</v>
      </c>
      <c r="G86" s="10">
        <f t="shared" si="3"/>
        <v>3.2384297002383107E-2</v>
      </c>
    </row>
    <row r="87" spans="2:7" x14ac:dyDescent="0.3">
      <c r="B87" t="s">
        <v>99</v>
      </c>
      <c r="C87" s="3">
        <v>173</v>
      </c>
      <c r="D87" s="9">
        <v>1349.59</v>
      </c>
      <c r="E87" s="9">
        <v>1427.86</v>
      </c>
      <c r="F87" s="9">
        <f t="shared" si="2"/>
        <v>78.269999999999982</v>
      </c>
      <c r="G87" s="10">
        <f t="shared" si="3"/>
        <v>5.7995391192880788E-2</v>
      </c>
    </row>
    <row r="88" spans="2:7" x14ac:dyDescent="0.3">
      <c r="B88" t="s">
        <v>100</v>
      </c>
      <c r="C88" s="3">
        <v>4</v>
      </c>
      <c r="D88" s="9">
        <v>827.6</v>
      </c>
      <c r="E88" s="9">
        <v>869.6</v>
      </c>
      <c r="F88" s="9">
        <f t="shared" si="2"/>
        <v>42</v>
      </c>
      <c r="G88" s="10">
        <f t="shared" si="3"/>
        <v>5.0749154180763652E-2</v>
      </c>
    </row>
    <row r="89" spans="2:7" x14ac:dyDescent="0.3">
      <c r="B89" t="s">
        <v>101</v>
      </c>
      <c r="C89" s="3">
        <v>21</v>
      </c>
      <c r="D89" s="9">
        <v>7.94</v>
      </c>
      <c r="E89" s="9">
        <v>7.94</v>
      </c>
      <c r="F89" s="9">
        <f t="shared" si="2"/>
        <v>0</v>
      </c>
      <c r="G89" s="10">
        <f t="shared" si="3"/>
        <v>0</v>
      </c>
    </row>
    <row r="90" spans="2:7" x14ac:dyDescent="0.3">
      <c r="B90" t="s">
        <v>102</v>
      </c>
      <c r="C90" s="3">
        <v>14</v>
      </c>
      <c r="D90" s="9">
        <v>71.11</v>
      </c>
      <c r="E90" s="9">
        <v>400.71</v>
      </c>
      <c r="F90" s="9">
        <f t="shared" si="2"/>
        <v>329.59999999999997</v>
      </c>
      <c r="G90" s="10">
        <f t="shared" si="3"/>
        <v>4.6350724230066094</v>
      </c>
    </row>
    <row r="91" spans="2:7" x14ac:dyDescent="0.3">
      <c r="B91" t="s">
        <v>103</v>
      </c>
      <c r="C91" s="3">
        <v>7</v>
      </c>
      <c r="D91" s="9">
        <v>1702.8</v>
      </c>
      <c r="E91" s="9">
        <v>1710.72</v>
      </c>
      <c r="F91" s="9">
        <f t="shared" si="2"/>
        <v>7.9200000000000728</v>
      </c>
      <c r="G91" s="10">
        <f t="shared" si="3"/>
        <v>4.6511627906977169E-3</v>
      </c>
    </row>
    <row r="92" spans="2:7" x14ac:dyDescent="0.3">
      <c r="B92" t="s">
        <v>104</v>
      </c>
      <c r="C92" s="3">
        <v>55</v>
      </c>
      <c r="D92" s="9">
        <v>36.04</v>
      </c>
      <c r="E92" s="9">
        <v>60.46</v>
      </c>
      <c r="F92" s="9">
        <f t="shared" si="2"/>
        <v>24.42</v>
      </c>
      <c r="G92" s="10">
        <f t="shared" si="3"/>
        <v>0.67758046614872369</v>
      </c>
    </row>
    <row r="93" spans="2:7" x14ac:dyDescent="0.3">
      <c r="B93" t="s">
        <v>105</v>
      </c>
      <c r="C93" s="3">
        <v>2</v>
      </c>
      <c r="D93" s="9">
        <v>80</v>
      </c>
      <c r="E93" s="9">
        <v>80</v>
      </c>
      <c r="F93" s="9">
        <f t="shared" si="2"/>
        <v>0</v>
      </c>
      <c r="G93" s="10">
        <f t="shared" si="3"/>
        <v>0</v>
      </c>
    </row>
    <row r="94" spans="2:7" x14ac:dyDescent="0.3">
      <c r="B94" t="s">
        <v>106</v>
      </c>
      <c r="C94" s="3">
        <v>16</v>
      </c>
      <c r="D94" s="9">
        <v>0.06</v>
      </c>
      <c r="E94" s="9">
        <v>0.06</v>
      </c>
      <c r="F94" s="9">
        <f t="shared" si="2"/>
        <v>0</v>
      </c>
      <c r="G94" s="10">
        <f t="shared" si="3"/>
        <v>0</v>
      </c>
    </row>
    <row r="95" spans="2:7" x14ac:dyDescent="0.3">
      <c r="B95" t="s">
        <v>107</v>
      </c>
      <c r="C95" s="3">
        <v>0</v>
      </c>
      <c r="D95" s="9">
        <v>0</v>
      </c>
      <c r="E95" s="9">
        <v>0</v>
      </c>
      <c r="F95" s="9">
        <f t="shared" si="2"/>
        <v>0</v>
      </c>
      <c r="G95" s="10">
        <f t="shared" si="3"/>
        <v>0</v>
      </c>
    </row>
    <row r="96" spans="2:7" x14ac:dyDescent="0.3">
      <c r="B96" t="s">
        <v>108</v>
      </c>
      <c r="C96" s="3">
        <v>1</v>
      </c>
      <c r="D96" s="9">
        <v>0</v>
      </c>
      <c r="E96" s="9">
        <v>0</v>
      </c>
      <c r="F96" s="9">
        <f t="shared" si="2"/>
        <v>0</v>
      </c>
      <c r="G96" s="10">
        <f t="shared" si="3"/>
        <v>0</v>
      </c>
    </row>
    <row r="97" spans="2:7" x14ac:dyDescent="0.3">
      <c r="B97" s="13" t="s">
        <v>109</v>
      </c>
      <c r="C97" s="14">
        <v>4788</v>
      </c>
      <c r="D97" s="15">
        <v>57023.53</v>
      </c>
      <c r="E97" s="15">
        <v>62339.82</v>
      </c>
      <c r="F97" s="15">
        <f t="shared" si="2"/>
        <v>5316.2900000000009</v>
      </c>
      <c r="G97" s="16">
        <f t="shared" si="3"/>
        <v>9.3229759714980834E-2</v>
      </c>
    </row>
    <row r="98" spans="2:7" x14ac:dyDescent="0.3">
      <c r="B98" s="17" t="s">
        <v>110</v>
      </c>
      <c r="C98" s="18">
        <v>4162</v>
      </c>
      <c r="D98" s="19">
        <v>45519</v>
      </c>
      <c r="E98" s="19">
        <v>51097.3</v>
      </c>
      <c r="F98" s="19">
        <f t="shared" si="2"/>
        <v>5578.3000000000029</v>
      </c>
      <c r="G98" s="20">
        <f>IFERROR(F98/D98,0)</f>
        <v>0.12254882576506521</v>
      </c>
    </row>
    <row r="100" spans="2:7" x14ac:dyDescent="0.3">
      <c r="B100" s="24" t="s">
        <v>133</v>
      </c>
    </row>
    <row r="101" spans="2:7" x14ac:dyDescent="0.3">
      <c r="B1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Valuation&gt;</vt:lpstr>
      <vt:lpstr>Sensex Val</vt:lpstr>
      <vt:lpstr>Data&gt;</vt:lpstr>
      <vt:lpstr>ExpDiv&amp;BB</vt:lpstr>
      <vt:lpstr>SensexEPSGrowth</vt:lpstr>
      <vt:lpstr>SensexHistorical</vt:lpstr>
      <vt:lpstr>RfrHistorical</vt:lpstr>
      <vt:lpstr>ErpHistorical</vt:lpstr>
      <vt:lpstr>2025-BBData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Singh</dc:creator>
  <cp:lastModifiedBy>Abhay Singh</cp:lastModifiedBy>
  <cp:lastPrinted>2026-03-29T06:14:35Z</cp:lastPrinted>
  <dcterms:created xsi:type="dcterms:W3CDTF">2025-08-27T17:15:35Z</dcterms:created>
  <dcterms:modified xsi:type="dcterms:W3CDTF">2026-03-30T10:26:03Z</dcterms:modified>
</cp:coreProperties>
</file>